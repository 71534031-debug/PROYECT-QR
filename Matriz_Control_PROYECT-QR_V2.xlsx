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Control" sheetId="1" state="visible" r:id="rId3"/>
    <sheet name="Macroprocesos" sheetId="2" state="visible" r:id="rId4"/>
    <sheet name="Índice de Enlaces" sheetId="3" state="visible" r:id="rId5"/>
    <sheet name="Resumen" sheetId="4" state="visible" r:id="rId6"/>
    <sheet name="Leyen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<sst xmlns="http://schemas.openxmlformats.org/spreadsheetml/2006/main" count="557" uniqueCount="338">
  <si>
    <t xml:space="preserve">Matriz de Control — Sistema de Generación y Lectura de Códigos QR</t>
  </si>
  <si>
    <t xml:space="preserve">Repositorio: github.com/71534031-debug/PROYECT-QR (branch main)  ·  Generado 2026-06-22</t>
  </si>
  <si>
    <t xml:space="preserve">N°</t>
  </si>
  <si>
    <t xml:space="preserve">Macroproceso</t>
  </si>
  <si>
    <t xml:space="preserve">Funcionalidad</t>
  </si>
  <si>
    <t xml:space="preserve">Actividades</t>
  </si>
  <si>
    <t xml:space="preserve">Riesgo</t>
  </si>
  <si>
    <t xml:space="preserve">Control Implementado</t>
  </si>
  <si>
    <t xml:space="preserve">Tipo de Control</t>
  </si>
  <si>
    <t xml:space="preserve">Frecuencia</t>
  </si>
  <si>
    <t xml:space="preserve">Responsable</t>
  </si>
  <si>
    <t xml:space="preserve">Código (línea)</t>
  </si>
  <si>
    <t xml:space="preserve">I. GESTIÓN DE SEGURIDAD Y ACCESO</t>
  </si>
  <si>
    <t xml:space="preserve">Inicio de sesión</t>
  </si>
  <si>
    <t xml:space="preserve">Validar credenciales (email + password) contra base de datos</t>
  </si>
  <si>
    <t xml:space="preserve">Acceso no autorizado al sistema</t>
  </si>
  <si>
    <t xml:space="preserve">Hash bcrypt de contraseñas, verificación en base de datos</t>
  </si>
  <si>
    <t xml:space="preserve">Preventivo</t>
  </si>
  <si>
    <t xml:space="preserve">Por evento</t>
  </si>
  <si>
    <t xml:space="preserve">ADMIN</t>
  </si>
  <si>
    <t xml:space="preserve">auth.routes.js#L14</t>
  </si>
  <si>
    <t xml:space="preserve">Generación de token JWT</t>
  </si>
  <si>
    <t xml:space="preserve">Crear token access + refresh al autenticarse</t>
  </si>
  <si>
    <t xml:space="preserve">Suplantación de identidad</t>
  </si>
  <si>
    <t xml:space="preserve">JWT firmado con JWT_SECRET, payload con id y rol, expiración definida</t>
  </si>
  <si>
    <t xml:space="preserve">auth.routes.js#L14-L55</t>
  </si>
  <si>
    <t xml:space="preserve">Refrescar token</t>
  </si>
  <si>
    <t xml:space="preserve">Renovar access token mediante refresh token</t>
  </si>
  <si>
    <t xml:space="preserve">Sesión expirada sin posibilidad de renovación</t>
  </si>
  <si>
    <t xml:space="preserve">Endpoint /api/auth/refresh verifica refresh token en base de datos</t>
  </si>
  <si>
    <t xml:space="preserve">Correctivo</t>
  </si>
  <si>
    <t xml:space="preserve">ADMIN / ADMINISTRATIVO</t>
  </si>
  <si>
    <t xml:space="preserve">auth.routes.js#L57</t>
  </si>
  <si>
    <t xml:space="preserve">Cierre de sesión</t>
  </si>
  <si>
    <t xml:space="preserve">Invalidar refresh token</t>
  </si>
  <si>
    <t xml:space="preserve">Sesión persistente no controlada</t>
  </si>
  <si>
    <t xml:space="preserve">Eliminación del refresh token de la base de datos</t>
  </si>
  <si>
    <t xml:space="preserve">auth.routes.js#L81</t>
  </si>
  <si>
    <t xml:space="preserve">Recuperación de contraseña</t>
  </si>
  <si>
    <t xml:space="preserve">Enviar enlace de restablecimiento por email</t>
  </si>
  <si>
    <t xml:space="preserve">Suplantación de cuenta vía correo</t>
  </si>
  <si>
    <t xml:space="preserve">Token único temporizado en password_reset_tokens, expiración 1 hora</t>
  </si>
  <si>
    <t xml:space="preserve">Público</t>
  </si>
  <si>
    <t xml:space="preserve">auth.routes.js#L96</t>
  </si>
  <si>
    <t xml:space="preserve">Restablecer contraseña</t>
  </si>
  <si>
    <t xml:space="preserve">Cambiar password con token válido</t>
  </si>
  <si>
    <t xml:space="preserve">Uso de token expirado o inválido</t>
  </si>
  <si>
    <t xml:space="preserve">Validación del token antes del cambio, confirmación de coincidencia</t>
  </si>
  <si>
    <t xml:space="preserve">Detectivo</t>
  </si>
  <si>
    <t xml:space="preserve">auth.routes.js#L153</t>
  </si>
  <si>
    <t xml:space="preserve">Control de acceso por rol</t>
  </si>
  <si>
    <t xml:space="preserve">Verificar rol en cada petición a backend</t>
  </si>
  <si>
    <t xml:space="preserve">Usuario ejecuta acción no autorizada</t>
  </si>
  <si>
    <t xml:space="preserve">Middleware requireRoles con lista blanca de roles por endpoint</t>
  </si>
  <si>
    <t xml:space="preserve">Por request</t>
  </si>
  <si>
    <t xml:space="preserve">requireRoles.js#L1</t>
  </si>
  <si>
    <t xml:space="preserve">Protección de rutas frontend</t>
  </si>
  <si>
    <t xml:space="preserve">Redirigir al login si no hay token</t>
  </si>
  <si>
    <t xml:space="preserve">Acceso a páginas internas sin autenticación</t>
  </si>
  <si>
    <t xml:space="preserve">Verificación de token en App.jsx, Navigate a /login</t>
  </si>
  <si>
    <t xml:space="preserve">Por ruta</t>
  </si>
  <si>
    <t xml:space="preserve">App.jsx#L164</t>
  </si>
  <si>
    <t xml:space="preserve">Expiración de sesión</t>
  </si>
  <si>
    <t xml:space="preserve">Detectar token expirado y redirigir</t>
  </si>
  <si>
    <t xml:space="preserve">Sesión inválida usada para peticiones</t>
  </si>
  <si>
    <t xml:space="preserve">Interceptor de Axios captura 401, intenta refresh o redirige a login</t>
  </si>
  <si>
    <t xml:space="preserve">api.js#L48</t>
  </si>
  <si>
    <t xml:space="preserve">II. GESTIÓN DE ACTIVIDADES</t>
  </si>
  <si>
    <t xml:space="preserve">Crear actividad</t>
  </si>
  <si>
    <t xml:space="preserve">Registrar nueva actividad con nombre, fechas, tipo</t>
  </si>
  <si>
    <t xml:space="preserve">Duplicidad de actividades</t>
  </si>
  <si>
    <t xml:space="preserve">Validación de datos requeridos en backend, unicidad por nombre</t>
  </si>
  <si>
    <t xml:space="preserve">actividades.routes.js#L10</t>
  </si>
  <si>
    <t xml:space="preserve">Listar actividades</t>
  </si>
  <si>
    <t xml:space="preserve">Consultar actividades registradas</t>
  </si>
  <si>
    <t xml:space="preserve">Exposición de datos no autorizados</t>
  </si>
  <si>
    <t xml:space="preserve">Autenticación requerida, filtro por permisos de rol</t>
  </si>
  <si>
    <t xml:space="preserve">Por consulta</t>
  </si>
  <si>
    <t xml:space="preserve">actividades.routes.js#L34</t>
  </si>
  <si>
    <t xml:space="preserve">Editar actividad</t>
  </si>
  <si>
    <t xml:space="preserve">Modificar datos de actividad existente</t>
  </si>
  <si>
    <t xml:space="preserve">Modificación no autorizada</t>
  </si>
  <si>
    <t xml:space="preserve">Verificación de rol (ADMIN o ADMINISTRATIVO), validación de existencia</t>
  </si>
  <si>
    <t xml:space="preserve">actividades.routes.js#L40</t>
  </si>
  <si>
    <t xml:space="preserve">Dashboard de actividades</t>
  </si>
  <si>
    <t xml:space="preserve">Mostrar estadísticas de actividades por periodo</t>
  </si>
  <si>
    <t xml:space="preserve">Datos incorrectos en reportes</t>
  </si>
  <si>
    <t xml:space="preserve">Consultas agregadas con joins a participantes y certificados</t>
  </si>
  <si>
    <t xml:space="preserve">Dashboard.jsx#L97</t>
  </si>
  <si>
    <t xml:space="preserve">III. GESTIÓN DE PARTICIPANTES</t>
  </si>
  <si>
    <t xml:space="preserve">Registrar participante</t>
  </si>
  <si>
    <t xml:space="preserve">Ingresar datos personales (nombres, documento, email) vinculados a actividad</t>
  </si>
  <si>
    <t xml:space="preserve">Datos duplicados o incorrectos</t>
  </si>
  <si>
    <t xml:space="preserve">Validación de campos requeridos, unicidad por numero_documento por actividad</t>
  </si>
  <si>
    <t xml:space="preserve">participantes.routes.js#L27</t>
  </si>
  <si>
    <t xml:space="preserve">Importar participantes CSV</t>
  </si>
  <si>
    <t xml:space="preserve">Subir archivo CSV con lista de participantes</t>
  </si>
  <si>
    <t xml:space="preserve">Datos malformados o incompletos</t>
  </si>
  <si>
    <t xml:space="preserve">Parsing con csv-parser, validación por fila, transacción por lote</t>
  </si>
  <si>
    <t xml:space="preserve">participantes.routes.js#L88</t>
  </si>
  <si>
    <t xml:space="preserve">Listar participantes</t>
  </si>
  <si>
    <t xml:space="preserve">Consultar participantes filtrados por actividad</t>
  </si>
  <si>
    <t xml:space="preserve">Exposición de datos personales sin control</t>
  </si>
  <si>
    <t xml:space="preserve">Autenticación requerida, filtro por actividad_id</t>
  </si>
  <si>
    <t xml:space="preserve">participantes.routes.js#L168</t>
  </si>
  <si>
    <t xml:space="preserve">Validar participante como APTO</t>
  </si>
  <si>
    <t xml:space="preserve">Marcar participante como apto para certificación</t>
  </si>
  <si>
    <t xml:space="preserve">Validación incorrecta o no autorizada</t>
  </si>
  <si>
    <t xml:space="preserve">Cambio de estado_validacion a APTO, verificación de rol, registro de evento</t>
  </si>
  <si>
    <t xml:space="preserve">participantes.routes.js#L182</t>
  </si>
  <si>
    <t xml:space="preserve">Exportar participantes</t>
  </si>
  <si>
    <t xml:space="preserve">Descargar lista en CSV, Excel o PDF</t>
  </si>
  <si>
    <t xml:space="preserve">Fuga de datos personales</t>
  </si>
  <si>
    <t xml:space="preserve">Autenticación requerida, exportación del lado del cliente</t>
  </si>
  <si>
    <t xml:space="preserve">Certificados.jsx#L18</t>
  </si>
  <si>
    <t xml:space="preserve">IV. GESTIÓN DE PLANTILLAS</t>
  </si>
  <si>
    <t xml:space="preserve">Crear plantilla</t>
  </si>
  <si>
    <t xml:space="preserve">Registrar nueva plantilla con nombre</t>
  </si>
  <si>
    <t xml:space="preserve">Plantilla sin contenido válido</t>
  </si>
  <si>
    <t xml:space="preserve">Inserción con contenido explícito (NULL permitido), validación de nombre requerido</t>
  </si>
  <si>
    <t xml:space="preserve">plantillas.routes.js#L38</t>
  </si>
  <si>
    <t xml:space="preserve">Editar plantilla</t>
  </si>
  <si>
    <t xml:space="preserve">Modificar contenido HTML de la plantilla</t>
  </si>
  <si>
    <t xml:space="preserve">Inyección de código malicioso</t>
  </si>
  <si>
    <t xml:space="preserve">Almacenamiento como texto, renderizado controlado en servidor</t>
  </si>
  <si>
    <t xml:space="preserve">plantillas.routes.js#L158</t>
  </si>
  <si>
    <t xml:space="preserve">Subir imagen de fondo</t>
  </si>
  <si>
    <t xml:space="preserve">Cargar imagen para fondo de certificado</t>
  </si>
  <si>
    <t xml:space="preserve">Archivo malicioso o formato incorrecto</t>
  </si>
  <si>
    <t xml:space="preserve">Validación de tipo MIME (image/*), almacenamiento en uploads/, campo imagen_fondo en DB</t>
  </si>
  <si>
    <t xml:space="preserve">plantillas.routes.js#L139</t>
  </si>
  <si>
    <t xml:space="preserve">Configurar campos</t>
  </si>
  <si>
    <t xml:space="preserve">Definir posición, tamaño, alineación de campos dinámicos en el canvas</t>
  </si>
  <si>
    <t xml:space="preserve">Campos fuera de lugar o ilegibles</t>
  </si>
  <si>
    <t xml:space="preserve">Coordenadas x, y, font_size, alignment almacenadas en plantilla_campos, vista previa en canvas</t>
  </si>
  <si>
    <t xml:space="preserve">plantillas.routes.js#L103</t>
  </si>
  <si>
    <t xml:space="preserve">Listar plantillas</t>
  </si>
  <si>
    <t xml:space="preserve">Consultar plantillas disponibles</t>
  </si>
  <si>
    <t xml:space="preserve">Exposición de diseños no autorizados</t>
  </si>
  <si>
    <t xml:space="preserve">Autenticación requerida, listado con filtro activa</t>
  </si>
  <si>
    <t xml:space="preserve">plantillas.routes.js#L63</t>
  </si>
  <si>
    <t xml:space="preserve">Eliminar plantilla</t>
  </si>
  <si>
    <t xml:space="preserve">Borrar plantilla del sistema</t>
  </si>
  <si>
    <t xml:space="preserve">Pérdida irreversible de diseño</t>
  </si>
  <si>
    <t xml:space="preserve">Restricción a rol SOLO ADMIN, confirmación previa (SweetAlert2)</t>
  </si>
  <si>
    <t xml:space="preserve">plantillas.routes.js#L185</t>
  </si>
  <si>
    <t xml:space="preserve">V. GESTIÓN DE CERTIFICADOS</t>
  </si>
  <si>
    <t xml:space="preserve">Generar certificados</t>
  </si>
  <si>
    <t xml:space="preserve">Crear PDF con datos de participantes APTOs para una actividad</t>
  </si>
  <si>
    <t xml:space="preserve">Generación duplicada o datos incorrectos</t>
  </si>
  <si>
    <t xml:space="preserve">Verificación de configuración institucional, plantilla activa, participantes APTO sin certificado previo, transacción atómica</t>
  </si>
  <si>
    <t xml:space="preserve">certificados.routes.js#L25</t>
  </si>
  <si>
    <t xml:space="preserve">Ver PDF en navegador</t>
  </si>
  <si>
    <t xml:space="preserve">Visualizar certificado en nueva pestaña</t>
  </si>
  <si>
    <t xml:space="preserve">Acceso no autorizado a PDF</t>
  </si>
  <si>
    <t xml:space="preserve">Token JWT en query param ?token=, verificación en endpoint /ver</t>
  </si>
  <si>
    <t xml:space="preserve">certificados.routes.js#L143</t>
  </si>
  <si>
    <t xml:space="preserve">Descargar PDF</t>
  </si>
  <si>
    <t xml:space="preserve">Descargar certificado al equipo local</t>
  </si>
  <si>
    <t xml:space="preserve">Descarga sin autorización</t>
  </si>
  <si>
    <t xml:space="preserve">Autenticación requerida, Content-Disposition con filename UTF-8</t>
  </si>
  <si>
    <t xml:space="preserve">certificados.routes.js#L201</t>
  </si>
  <si>
    <t xml:space="preserve">Generar enlace de descarga</t>
  </si>
  <si>
    <t xml:space="preserve">Crear token temporal para descarga pública</t>
  </si>
  <si>
    <t xml:space="preserve">Enlace compartido sin control</t>
  </si>
  <si>
    <t xml:space="preserve">JWT con JWT_DOWNLOAD_SECRET, expiración 48h, vinculado a certificado_id</t>
  </si>
  <si>
    <t xml:space="preserve">certificados.routes.js#L165</t>
  </si>
  <si>
    <t xml:space="preserve">Revocar certificado</t>
  </si>
  <si>
    <t xml:space="preserve">Invalidar certificado emitido</t>
  </si>
  <si>
    <t xml:space="preserve">Revocación no autorizada</t>
  </si>
  <si>
    <t xml:space="preserve">Restricción a rol SOLO ADMIN, cambio de estado a REVOCADO</t>
  </si>
  <si>
    <t xml:space="preserve">certificados.routes.js#L228</t>
  </si>
  <si>
    <t xml:space="preserve">Cancelar certificados masivo</t>
  </si>
  <si>
    <t xml:space="preserve">Cambiar estado a CANCELADO para múltiples certificados</t>
  </si>
  <si>
    <t xml:space="preserve">Cancelación masiva errónea</t>
  </si>
  <si>
    <t xml:space="preserve">Confirmación previa (SweetAlert2), transacción por lote, verificación de roles</t>
  </si>
  <si>
    <t xml:space="preserve">Firma digital en PDF</t>
  </si>
  <si>
    <t xml:space="preserve">Superponer firma de la autoridad en el PDF</t>
  </si>
  <si>
    <t xml:space="preserve">Firma falsificada o incorrecta</t>
  </si>
  <si>
    <t xml:space="preserve">La firma se carga desde configuracion_institucional.firma_url, imagen administrada solo por ADMIN</t>
  </si>
  <si>
    <t xml:space="preserve">Por generación</t>
  </si>
  <si>
    <t xml:space="preserve">certificatePdf.js#L48</t>
  </si>
  <si>
    <t xml:space="preserve">VI. CONFIGURACIÓN INSTITUCIONAL</t>
  </si>
  <si>
    <t xml:space="preserve">Ver configuración</t>
  </si>
  <si>
    <t xml:space="preserve">Consultar datos institucionales</t>
  </si>
  <si>
    <t xml:space="preserve">Exposición de datos sensibles</t>
  </si>
  <si>
    <t xml:space="preserve">Autenticación requerida, GET disponible para ADMIN y ADMINISTRATIVO</t>
  </si>
  <si>
    <t xml:space="preserve">config.routes.js#L10</t>
  </si>
  <si>
    <t xml:space="preserve">Editar configuración</t>
  </si>
  <si>
    <t xml:space="preserve">Modificar nombre, autoridad, cargo, contacto</t>
  </si>
  <si>
    <t xml:space="preserve">Restricción a rol SOLO ADMIN, validación de campos requeridos</t>
  </si>
  <si>
    <t xml:space="preserve">config.routes.js#L16</t>
  </si>
  <si>
    <t xml:space="preserve">Subir logo institucional</t>
  </si>
  <si>
    <t xml:space="preserve">Cargar imagen del logo</t>
  </si>
  <si>
    <t xml:space="preserve">Imagen inapropiada o maliciosa</t>
  </si>
  <si>
    <t xml:space="preserve">Validación de tipo MIME, almacenamiento en uploads/, referencia logo_url en DB</t>
  </si>
  <si>
    <t xml:space="preserve">app.js#L66</t>
  </si>
  <si>
    <t xml:space="preserve">Eliminar logo</t>
  </si>
  <si>
    <t xml:space="preserve">Borrar logo institucional</t>
  </si>
  <si>
    <t xml:space="preserve">Pérdida de imagen institucional</t>
  </si>
  <si>
    <t xml:space="preserve">Restricción a rol SOLO ADMIN, confirmación en frontend</t>
  </si>
  <si>
    <t xml:space="preserve">app.js#L89</t>
  </si>
  <si>
    <t xml:space="preserve">Subir firma digital</t>
  </si>
  <si>
    <t xml:space="preserve">Cargar imagen de firma de autoridad</t>
  </si>
  <si>
    <t xml:space="preserve">Firma falsificada</t>
  </si>
  <si>
    <t xml:space="preserve">Validación de tipo MIME, almacenamiento en uploads/, referencia firma_url en DB</t>
  </si>
  <si>
    <t xml:space="preserve">app.js#L110</t>
  </si>
  <si>
    <t xml:space="preserve">Eliminar firma</t>
  </si>
  <si>
    <t xml:space="preserve">Borrar firma digital</t>
  </si>
  <si>
    <t xml:space="preserve">Pérdida de firma institucional</t>
  </si>
  <si>
    <t xml:space="preserve">app.js#L133</t>
  </si>
  <si>
    <t xml:space="preserve">VII. VALIDACIÓN Y ENTREGA</t>
  </si>
  <si>
    <t xml:space="preserve">Validar por código único</t>
  </si>
  <si>
    <t xml:space="preserve">Ingresar código alfanumérico para verificar autenticidad</t>
  </si>
  <si>
    <t xml:space="preserve">Código inválido o falsificado</t>
  </si>
  <si>
    <t xml:space="preserve">Consulta a base de datos, devolución de datos del certificado sin autenticación</t>
  </si>
  <si>
    <t xml:space="preserve">validacion.routes.js#L77</t>
  </si>
  <si>
    <t xml:space="preserve">Validar por QR</t>
  </si>
  <si>
    <t xml:space="preserve">Escanear código QR con cámara</t>
  </si>
  <si>
    <t xml:space="preserve">QR falso o adulterado</t>
  </si>
  <si>
    <t xml:space="preserve">El QR contiene el codigo_unico UUID v4, validación contra base de datos</t>
  </si>
  <si>
    <t xml:space="preserve">validacion.routes.js#L84</t>
  </si>
  <si>
    <t xml:space="preserve">Descarga por enlace</t>
  </si>
  <si>
    <t xml:space="preserve">Descargar PDF mediante token de enlace</t>
  </si>
  <si>
    <t xml:space="preserve">Token JWT firmado con JWT_DOWNLOAD_SECRET, expiración 48h, verificación en servidor</t>
  </si>
  <si>
    <t xml:space="preserve">Público (con token)</t>
  </si>
  <si>
    <t xml:space="preserve">entrega.routes.js#L10</t>
  </si>
  <si>
    <t xml:space="preserve">Validar con cámara</t>
  </si>
  <si>
    <t xml:space="preserve">Capturar código QR usando la cámara del dispositivo</t>
  </si>
  <si>
    <t xml:space="preserve">Lectura incorrecta del QR</t>
  </si>
  <si>
    <t xml:space="preserve">Integración con API de cámara del navegador, parsing del código</t>
  </si>
  <si>
    <t xml:space="preserve">Validar.jsx#L6</t>
  </si>
  <si>
    <t xml:space="preserve">VIII. AUDITORÍA Y TRAZABILIDAD</t>
  </si>
  <si>
    <t xml:space="preserve">Registro de eventos</t>
  </si>
  <si>
    <t xml:space="preserve">Insertar registro cada vez que se realiza una acción crítica</t>
  </si>
  <si>
    <t xml:space="preserve">Falta de trazabilidad en acciones del sistema</t>
  </si>
  <si>
    <t xml:space="preserve">Tabla auditoria_eventos con usuario_id, accion, entidad_tipo, entidad_id, detalle_json, ip, user_agent, created_at</t>
  </si>
  <si>
    <t xml:space="preserve">Por evento crítico</t>
  </si>
  <si>
    <t xml:space="preserve">Sistema</t>
  </si>
  <si>
    <t xml:space="preserve">schema.sql#L137</t>
  </si>
  <si>
    <t xml:space="preserve">Eventos auditados</t>
  </si>
  <si>
    <t xml:space="preserve">Registrar generación, descarga y revocación de certificados</t>
  </si>
  <si>
    <t xml:space="preserve">Acciones no monitoreadas</t>
  </si>
  <si>
    <t xml:space="preserve">Inserción automática en rutas: CERTIFICADOS_GENERADOS, CERTIFICADO_DESCARGA, CERTIFICADO_REVOCADO, CONFIG_ACTUALIZADA</t>
  </si>
  <si>
    <t xml:space="preserve">Trazabilidad de cambios en configuración</t>
  </si>
  <si>
    <t xml:space="preserve">Registrar quién y cuándo modificó la configuración</t>
  </si>
  <si>
    <t xml:space="preserve">Cambios no autorizados sin registro</t>
  </si>
  <si>
    <t xml:space="preserve">Inserción en auditoria_eventos con accion = 'CONFIG_ACTUALIZADA'</t>
  </si>
  <si>
    <t xml:space="preserve">Refresh tokens</t>
  </si>
  <si>
    <t xml:space="preserve">Almacenar tokens de refresco en base de datos</t>
  </si>
  <si>
    <t xml:space="preserve">Sesión persistente sin control</t>
  </si>
  <si>
    <t xml:space="preserve">Tabla refresh_tokens con token, usuario_id, expires_at, eliminación al cerrar sesión</t>
  </si>
  <si>
    <t xml:space="preserve">Por sesión</t>
  </si>
  <si>
    <t xml:space="preserve">schema.sql#L14</t>
  </si>
  <si>
    <t xml:space="preserve">Password reset tokens</t>
  </si>
  <si>
    <t xml:space="preserve">Almacenar tokens de recuperación con expiración</t>
  </si>
  <si>
    <t xml:space="preserve">Reutilización de tokens viejos</t>
  </si>
  <si>
    <t xml:space="preserve">Tabla password_reset_tokens con token, usuario_id, expires_at, eliminación post-uso</t>
  </si>
  <si>
    <t xml:space="preserve">schema.sql#L26</t>
  </si>
  <si>
    <t xml:space="preserve">Macroprocesos del Sistema</t>
  </si>
  <si>
    <t xml:space="preserve">Visión general de los 8 macroprocesos identificados</t>
  </si>
  <si>
    <t xml:space="preserve">Módulo</t>
  </si>
  <si>
    <t xml:space="preserve">I</t>
  </si>
  <si>
    <t xml:space="preserve">GESTIÓN DE SEGURIDAD Y ACCESO</t>
  </si>
  <si>
    <t xml:space="preserve">Autenticación y Autorización</t>
  </si>
  <si>
    <t xml:space="preserve">II</t>
  </si>
  <si>
    <t xml:space="preserve">GESTIÓN DE ACTIVIDADES</t>
  </si>
  <si>
    <t xml:space="preserve">III</t>
  </si>
  <si>
    <t xml:space="preserve">GESTIÓN DE PARTICIPANTES</t>
  </si>
  <si>
    <t xml:space="preserve">Participantes</t>
  </si>
  <si>
    <t xml:space="preserve">IV</t>
  </si>
  <si>
    <t xml:space="preserve">GESTIÓN DE PLANTILLAS</t>
  </si>
  <si>
    <t xml:space="preserve">Plantillas</t>
  </si>
  <si>
    <t xml:space="preserve">V</t>
  </si>
  <si>
    <t xml:space="preserve">GESTIÓN DE CERTIFICADOS</t>
  </si>
  <si>
    <t xml:space="preserve">Certificados</t>
  </si>
  <si>
    <t xml:space="preserve">VI</t>
  </si>
  <si>
    <t xml:space="preserve">CONFIGURACIÓN INSTITUCIONAL</t>
  </si>
  <si>
    <t xml:space="preserve">Configuración</t>
  </si>
  <si>
    <t xml:space="preserve">VII</t>
  </si>
  <si>
    <t xml:space="preserve">VALIDACIÓN Y ENTREGA</t>
  </si>
  <si>
    <t xml:space="preserve">Validación QR / Entrega</t>
  </si>
  <si>
    <t xml:space="preserve">VIII</t>
  </si>
  <si>
    <t xml:space="preserve">AUDITORÍA Y TRAZABILIDAD</t>
  </si>
  <si>
    <t xml:space="preserve">Auditoría de Eventos</t>
  </si>
  <si>
    <t xml:space="preserve">Índice de Enlaces Directos al Código</t>
  </si>
  <si>
    <t xml:space="preserve">Un enlace representativo por capa; ver hoja 'Matriz de Control' para el enlace exacto de cada control</t>
  </si>
  <si>
    <t xml:space="preserve">Backend</t>
  </si>
  <si>
    <t xml:space="preserve">Frontend</t>
  </si>
  <si>
    <t xml:space="preserve">Base de Datos</t>
  </si>
  <si>
    <t xml:space="preserve">Seguridad y Acceso</t>
  </si>
  <si>
    <t xml:space="preserve">auth.routes.js</t>
  </si>
  <si>
    <t xml:space="preserve">Login.jsx</t>
  </si>
  <si>
    <t xml:space="preserve">usuarios</t>
  </si>
  <si>
    <t xml:space="preserve">actividades.routes.js</t>
  </si>
  <si>
    <t xml:space="preserve">Actividades.jsx</t>
  </si>
  <si>
    <t xml:space="preserve">actividades</t>
  </si>
  <si>
    <t xml:space="preserve">participantes.routes.js</t>
  </si>
  <si>
    <t xml:space="preserve">Participantes.jsx</t>
  </si>
  <si>
    <t xml:space="preserve">participantes</t>
  </si>
  <si>
    <t xml:space="preserve">plantillas.routes.js</t>
  </si>
  <si>
    <t xml:space="preserve">Plantillas.jsx</t>
  </si>
  <si>
    <t xml:space="preserve">plantillas</t>
  </si>
  <si>
    <t xml:space="preserve">certificados.routes.js</t>
  </si>
  <si>
    <t xml:space="preserve">Certificados.jsx</t>
  </si>
  <si>
    <t xml:space="preserve">certificados</t>
  </si>
  <si>
    <t xml:space="preserve">app.js</t>
  </si>
  <si>
    <t xml:space="preserve">Configuracion.jsx</t>
  </si>
  <si>
    <t xml:space="preserve">configuracion_institucional</t>
  </si>
  <si>
    <t xml:space="preserve">Validación y Entrega</t>
  </si>
  <si>
    <t xml:space="preserve">validacion.routes.js</t>
  </si>
  <si>
    <t xml:space="preserve">Validar.jsx</t>
  </si>
  <si>
    <t xml:space="preserve">certificados.codigo_unico</t>
  </si>
  <si>
    <t xml:space="preserve">Auditoría y Trazabilidad</t>
  </si>
  <si>
    <t xml:space="preserve">Insertado en cada módulo</t>
  </si>
  <si>
    <t xml:space="preserve">—</t>
  </si>
  <si>
    <t xml:space="preserve">auditoria_eventos</t>
  </si>
  <si>
    <t xml:space="preserve">Resumen de Controles por Tipo</t>
  </si>
  <si>
    <t xml:space="preserve">Calculado en vivo a partir de la hoja 'Matriz de Control'</t>
  </si>
  <si>
    <t xml:space="preserve">Cantidad</t>
  </si>
  <si>
    <t xml:space="preserve">% del Total</t>
  </si>
  <si>
    <t xml:space="preserve">Total</t>
  </si>
  <si>
    <t xml:space="preserve">Controles por Macroproceso</t>
  </si>
  <si>
    <t xml:space="preserve">Leyenda de Términos</t>
  </si>
  <si>
    <t xml:space="preserve">Glosario utilizado en la matriz de control</t>
  </si>
  <si>
    <t xml:space="preserve">Término</t>
  </si>
  <si>
    <t xml:space="preserve">Significado</t>
  </si>
  <si>
    <t xml:space="preserve">Proceso de alto nivel que agrupa funcionalidades relacionadas</t>
  </si>
  <si>
    <t xml:space="preserve">Capacidad específica del sistema</t>
  </si>
  <si>
    <t xml:space="preserve">Tareas concretas que ejecuta el usuario o el sistema</t>
  </si>
  <si>
    <t xml:space="preserve">Evento no deseado que puede afectar la seguridad o integridad</t>
  </si>
  <si>
    <t xml:space="preserve">Mecanismo técnico que mitiga el riesgo</t>
  </si>
  <si>
    <t xml:space="preserve">Preventivo (evita), Detectivo (descubre), Correctivo (repara)</t>
  </si>
  <si>
    <t xml:space="preserve">Cada qué tanto se ejecuta el control</t>
  </si>
  <si>
    <t xml:space="preserve">Rol del usuario que ejecuta la funcionalidad</t>
  </si>
  <si>
    <t xml:space="preserve">Evidencia</t>
  </si>
  <si>
    <t xml:space="preserve">Registro o documento que prueba la ejecución del control</t>
  </si>
  <si>
    <t xml:space="preserve">Código de colores (Tipo de Control):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</si>
</sst>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1155C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D9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2F3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Controles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Resumen!B3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Resumen!$A$4:$A$6</c:f>
              <c:strCache>
                <c:ptCount val="3"/>
                <c:pt idx="0">
                  <c:v>Preventivo</c:v>
                </c:pt>
                <c:pt idx="1">
                  <c:v>Detectivo</c:v>
                </c:pt>
                <c:pt idx="2">
                  <c:v>Correctivo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35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Cantidad de Controles por Macroproceso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Resumen!B19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Resumen!$A$20:$A$27</c:f>
              <c:strCache>
                <c:ptCount val="8"/>
                <c:pt idx="0">
                  <c:v>I. GESTIÓN DE SEGURIDAD Y ACCESO</c:v>
                </c:pt>
                <c:pt idx="1">
                  <c:v>II. GESTIÓN DE ACTIVIDADES</c:v>
                </c:pt>
                <c:pt idx="2">
                  <c:v>III. GESTIÓN DE PARTICIPANTES</c:v>
                </c:pt>
                <c:pt idx="3">
                  <c:v>IV. GESTIÓN DE PLANTILLAS</c:v>
                </c:pt>
                <c:pt idx="4">
                  <c:v>V. GESTIÓN DE CERTIFICADOS</c:v>
                </c:pt>
                <c:pt idx="5">
                  <c:v>VI. CONFIGURACIÓN INSTITUCIONAL</c:v>
                </c:pt>
                <c:pt idx="6">
                  <c:v>VII. VALIDACIÓN Y ENTREGA</c:v>
                </c:pt>
                <c:pt idx="7">
                  <c:v>VIII. AUDITORÍA Y TRAZABILIDAD</c:v>
                </c:pt>
              </c:strCache>
            </c:strRef>
          </c:cat>
          <c:val>
            <c:numRef>
              <c:f>Resumen!$B$20:$B$27</c:f>
              <c:numCache>
                <c:formatCode>General</c:formatCode>
                <c:ptCount val="8"/>
                <c:pt idx="0">
                  <c:v>9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</c:ser>
        <c:gapWidth val="150"/>
        <c:overlap val="0"/>
        <c:axId val="79078845"/>
        <c:axId val="14010206"/>
      </c:barChart>
      <c:catAx>
        <c:axId val="79078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10206"/>
        <c:crosses val="autoZero"/>
        <c:auto val="1"/>
        <c:lblAlgn val="ctr"/>
        <c:lblOffset val="100"/>
        <c:noMultiLvlLbl val="0"/>
      </c:catAx>
      <c:valAx>
        <c:axId val="14010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788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11</xdr:col>
      <xdr:colOff>398880</xdr:colOff>
      <xdr:row>16</xdr:row>
      <xdr:rowOff>126720</xdr:rowOff>
    </xdr:to>
    <xdr:graphicFrame>
      <xdr:nvGraphicFramePr>
        <xdr:cNvPr id="0" name="Chart 1"/>
        <xdr:cNvGraphicFramePr/>
      </xdr:nvGraphicFramePr>
      <xdr:xfrm>
        <a:off x="4135680" y="5238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13</xdr:col>
      <xdr:colOff>255960</xdr:colOff>
      <xdr:row>33</xdr:row>
      <xdr:rowOff>10800</xdr:rowOff>
    </xdr:to>
    <xdr:graphicFrame>
      <xdr:nvGraphicFramePr>
        <xdr:cNvPr id="1" name="Chart 2"/>
        <xdr:cNvGraphicFramePr/>
      </xdr:nvGraphicFramePr>
      <xdr:xfrm>
        <a:off x="4135680" y="3905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diceEnlaces" displayName="IndiceEnlaces" ref="A3:E11" headerRowCount="1" totalsRowCount="0" totalsRowShown="0">
  <autoFilter ref="A3:E11"/>
  <tableColumns count="5">
    <tableColumn id="1" name="N°"/>
    <tableColumn id="2" name="Macroproceso"/>
    <tableColumn id="3" name="Backend"/>
    <tableColumn id="4" name="Frontend"/>
    <tableColumn id="5" name="Base de Datos"/>
  </tableColumns>
</table>
</file>

<file path=xl/tables/table2.xml><?xml version="1.0" encoding="utf-8"?>
<table xmlns="http://schemas.openxmlformats.org/spreadsheetml/2006/main" id="2" name="Leyenda" displayName="Leyenda" ref="A3:B12" headerRowCount="1" totalsRowCount="0" totalsRowShown="0">
  <autoFilter ref="A3:B12"/>
  <tableColumns count="2">
    <tableColumn id="1" name="Término"/>
    <tableColumn id="2" name="Significado"/>
  </tableColumns>
</table>
</file>

<file path=xl/tables/table3.xml><?xml version="1.0" encoding="utf-8"?>
<table xmlns="http://schemas.openxmlformats.org/spreadsheetml/2006/main" id="3" name="Macroprocesos" displayName="Macroprocesos" ref="A3:D11" headerRowCount="1" totalsRowCount="0" totalsRowShown="0">
  <autoFilter ref="A3:D11"/>
  <tableColumns count="4">
    <tableColumn id="1" name="N°"/>
    <tableColumn id="2" name="Macroproceso"/>
    <tableColumn id="3" name="Módulo"/>
    <tableColumn id="4" name="Responsable"/>
  </tableColumns>
</table>
</file>

<file path=xl/tables/table4.xml><?xml version="1.0" encoding="utf-8"?>
<table xmlns="http://schemas.openxmlformats.org/spreadsheetml/2006/main" id="4" name="MatrizControl" displayName="MatrizControl" ref="A3:J49" headerRowCount="1" totalsRowCount="0" totalsRowShown="0">
  <autoFilter ref="A3:J49"/>
  <tableColumns count="10">
    <tableColumn id="1" name="N°"/>
    <tableColumn id="2" name="Macroproceso"/>
    <tableColumn id="3" name="Funcionalidad"/>
    <tableColumn id="4" name="Actividades"/>
    <tableColumn id="5" name="Riesgo"/>
    <tableColumn id="6" name="Control Implementado"/>
    <tableColumn id="7" name="Tipo de Control"/>
    <tableColumn id="8" name="Frecuencia"/>
    <tableColumn id="9" name="Responsable"/>
    <tableColumn id="10" name="Código (línea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71534031-debug/PROYECT-QR/blob/main/backend/src/routes/auth.routes.js" TargetMode="External"/><Relationship Id="rId2" Type="http://schemas.openxmlformats.org/officeDocument/2006/relationships/hyperlink" Target="https://github.com/71534031-debug/PROYECT-QR/blob/main/backend/src/routes/auth.routes.js" TargetMode="External"/><Relationship Id="rId3" Type="http://schemas.openxmlformats.org/officeDocument/2006/relationships/hyperlink" Target="https://github.com/71534031-debug/PROYECT-QR/blob/main/backend/src/routes/auth.routes.js" TargetMode="External"/><Relationship Id="rId4" Type="http://schemas.openxmlformats.org/officeDocument/2006/relationships/hyperlink" Target="https://github.com/71534031-debug/PROYECT-QR/blob/main/backend/src/routes/auth.routes.js" TargetMode="External"/><Relationship Id="rId5" Type="http://schemas.openxmlformats.org/officeDocument/2006/relationships/hyperlink" Target="https://github.com/71534031-debug/PROYECT-QR/blob/main/backend/src/routes/auth.routes.js" TargetMode="External"/><Relationship Id="rId6" Type="http://schemas.openxmlformats.org/officeDocument/2006/relationships/hyperlink" Target="https://github.com/71534031-debug/PROYECT-QR/blob/main/backend/src/routes/auth.routes.js" TargetMode="External"/><Relationship Id="rId7" Type="http://schemas.openxmlformats.org/officeDocument/2006/relationships/hyperlink" Target="https://github.com/71534031-debug/PROYECT-QR/blob/main/backend/src/middlewares/requireRoles.js" TargetMode="External"/><Relationship Id="rId8" Type="http://schemas.openxmlformats.org/officeDocument/2006/relationships/hyperlink" Target="https://github.com/71534031-debug/PROYECT-QR/blob/main/frontend/src/App.jsx" TargetMode="External"/><Relationship Id="rId9" Type="http://schemas.openxmlformats.org/officeDocument/2006/relationships/hyperlink" Target="https://github.com/71534031-debug/PROYECT-QR/blob/main/frontend/src/services/api.js" TargetMode="External"/><Relationship Id="rId10" Type="http://schemas.openxmlformats.org/officeDocument/2006/relationships/hyperlink" Target="https://github.com/71534031-debug/PROYECT-QR/blob/main/backend/src/routes/actividades.routes.js" TargetMode="External"/><Relationship Id="rId11" Type="http://schemas.openxmlformats.org/officeDocument/2006/relationships/hyperlink" Target="https://github.com/71534031-debug/PROYECT-QR/blob/main/backend/src/routes/actividades.routes.js" TargetMode="External"/><Relationship Id="rId12" Type="http://schemas.openxmlformats.org/officeDocument/2006/relationships/hyperlink" Target="https://github.com/71534031-debug/PROYECT-QR/blob/main/backend/src/routes/actividades.routes.js" TargetMode="External"/><Relationship Id="rId13" Type="http://schemas.openxmlformats.org/officeDocument/2006/relationships/hyperlink" Target="https://github.com/71534031-debug/PROYECT-QR/blob/main/frontend/src/pages/Dashboard.jsx" TargetMode="External"/><Relationship Id="rId14" Type="http://schemas.openxmlformats.org/officeDocument/2006/relationships/hyperlink" Target="https://github.com/71534031-debug/PROYECT-QR/blob/main/backend/src/routes/participantes.routes.js" TargetMode="External"/><Relationship Id="rId15" Type="http://schemas.openxmlformats.org/officeDocument/2006/relationships/hyperlink" Target="https://github.com/71534031-debug/PROYECT-QR/blob/main/backend/src/routes/participantes.routes.js" TargetMode="External"/><Relationship Id="rId16" Type="http://schemas.openxmlformats.org/officeDocument/2006/relationships/hyperlink" Target="https://github.com/71534031-debug/PROYECT-QR/blob/main/backend/src/routes/participantes.routes.js" TargetMode="External"/><Relationship Id="rId17" Type="http://schemas.openxmlformats.org/officeDocument/2006/relationships/hyperlink" Target="https://github.com/71534031-debug/PROYECT-QR/blob/main/backend/src/routes/participantes.routes.js" TargetMode="External"/><Relationship Id="rId18" Type="http://schemas.openxmlformats.org/officeDocument/2006/relationships/hyperlink" Target="https://github.com/71534031-debug/PROYECT-QR/blob/main/frontend/src/pages/Certificados.jsx" TargetMode="External"/><Relationship Id="rId19" Type="http://schemas.openxmlformats.org/officeDocument/2006/relationships/hyperlink" Target="https://github.com/71534031-debug/PROYECT-QR/blob/main/backend/src/routes/plantillas.routes.js" TargetMode="External"/><Relationship Id="rId20" Type="http://schemas.openxmlformats.org/officeDocument/2006/relationships/hyperlink" Target="https://github.com/71534031-debug/PROYECT-QR/blob/main/backend/src/routes/plantillas.routes.js" TargetMode="External"/><Relationship Id="rId21" Type="http://schemas.openxmlformats.org/officeDocument/2006/relationships/hyperlink" Target="https://github.com/71534031-debug/PROYECT-QR/blob/main/backend/src/routes/plantillas.routes.js" TargetMode="External"/><Relationship Id="rId22" Type="http://schemas.openxmlformats.org/officeDocument/2006/relationships/hyperlink" Target="https://github.com/71534031-debug/PROYECT-QR/blob/main/backend/src/routes/plantillas.routes.js" TargetMode="External"/><Relationship Id="rId23" Type="http://schemas.openxmlformats.org/officeDocument/2006/relationships/hyperlink" Target="https://github.com/71534031-debug/PROYECT-QR/blob/main/backend/src/routes/plantillas.routes.js" TargetMode="External"/><Relationship Id="rId24" Type="http://schemas.openxmlformats.org/officeDocument/2006/relationships/hyperlink" Target="https://github.com/71534031-debug/PROYECT-QR/blob/main/backend/src/routes/plantillas.routes.js" TargetMode="External"/><Relationship Id="rId25" Type="http://schemas.openxmlformats.org/officeDocument/2006/relationships/hyperlink" Target="https://github.com/71534031-debug/PROYECT-QR/blob/main/backend/src/routes/certificados.routes.js" TargetMode="External"/><Relationship Id="rId26" Type="http://schemas.openxmlformats.org/officeDocument/2006/relationships/hyperlink" Target="https://github.com/71534031-debug/PROYECT-QR/blob/main/backend/src/routes/certificados.routes.js" TargetMode="External"/><Relationship Id="rId27" Type="http://schemas.openxmlformats.org/officeDocument/2006/relationships/hyperlink" Target="https://github.com/71534031-debug/PROYECT-QR/blob/main/backend/src/routes/certificados.routes.js" TargetMode="External"/><Relationship Id="rId28" Type="http://schemas.openxmlformats.org/officeDocument/2006/relationships/hyperlink" Target="https://github.com/71534031-debug/PROYECT-QR/blob/main/backend/src/routes/certificados.routes.js" TargetMode="External"/><Relationship Id="rId29" Type="http://schemas.openxmlformats.org/officeDocument/2006/relationships/hyperlink" Target="https://github.com/71534031-debug/PROYECT-QR/blob/main/backend/src/routes/certificados.routes.js" TargetMode="External"/><Relationship Id="rId30" Type="http://schemas.openxmlformats.org/officeDocument/2006/relationships/hyperlink" Target="https://github.com/71534031-debug/PROYECT-QR/blob/main/frontend/src/pages/Certificados.jsx" TargetMode="External"/><Relationship Id="rId31" Type="http://schemas.openxmlformats.org/officeDocument/2006/relationships/hyperlink" Target="https://github.com/71534031-debug/PROYECT-QR/blob/main/backend/src/services/certificatePdf.js" TargetMode="External"/><Relationship Id="rId32" Type="http://schemas.openxmlformats.org/officeDocument/2006/relationships/hyperlink" Target="https://github.com/71534031-debug/PROYECT-QR/blob/main/backend/src/routes/config.routes.js" TargetMode="External"/><Relationship Id="rId33" Type="http://schemas.openxmlformats.org/officeDocument/2006/relationships/hyperlink" Target="https://github.com/71534031-debug/PROYECT-QR/blob/main/backend/src/routes/config.routes.js" TargetMode="External"/><Relationship Id="rId34" Type="http://schemas.openxmlformats.org/officeDocument/2006/relationships/hyperlink" Target="https://github.com/71534031-debug/PROYECT-QR/blob/main/backend/src/app.js" TargetMode="External"/><Relationship Id="rId35" Type="http://schemas.openxmlformats.org/officeDocument/2006/relationships/hyperlink" Target="https://github.com/71534031-debug/PROYECT-QR/blob/main/backend/src/app.js" TargetMode="External"/><Relationship Id="rId36" Type="http://schemas.openxmlformats.org/officeDocument/2006/relationships/hyperlink" Target="https://github.com/71534031-debug/PROYECT-QR/blob/main/backend/src/app.js" TargetMode="External"/><Relationship Id="rId37" Type="http://schemas.openxmlformats.org/officeDocument/2006/relationships/hyperlink" Target="https://github.com/71534031-debug/PROYECT-QR/blob/main/backend/src/app.js" TargetMode="External"/><Relationship Id="rId38" Type="http://schemas.openxmlformats.org/officeDocument/2006/relationships/hyperlink" Target="https://github.com/71534031-debug/PROYECT-QR/blob/main/backend/src/routes/validacion.routes.js" TargetMode="External"/><Relationship Id="rId39" Type="http://schemas.openxmlformats.org/officeDocument/2006/relationships/hyperlink" Target="https://github.com/71534031-debug/PROYECT-QR/blob/main/backend/src/routes/validacion.routes.js" TargetMode="External"/><Relationship Id="rId40" Type="http://schemas.openxmlformats.org/officeDocument/2006/relationships/hyperlink" Target="https://github.com/71534031-debug/PROYECT-QR/blob/main/backend/src/routes/entrega.routes.js" TargetMode="External"/><Relationship Id="rId41" Type="http://schemas.openxmlformats.org/officeDocument/2006/relationships/hyperlink" Target="https://github.com/71534031-debug/PROYECT-QR/blob/main/frontend/src/pages/Validar.jsx" TargetMode="External"/><Relationship Id="rId42" Type="http://schemas.openxmlformats.org/officeDocument/2006/relationships/hyperlink" Target="https://github.com/71534031-debug/PROYECT-QR/blob/main/database/schema.sql" TargetMode="External"/><Relationship Id="rId43" Type="http://schemas.openxmlformats.org/officeDocument/2006/relationships/hyperlink" Target="https://github.com/71534031-debug/PROYECT-QR/blob/main/backend/src/routes/certificados.routes.js" TargetMode="External"/><Relationship Id="rId44" Type="http://schemas.openxmlformats.org/officeDocument/2006/relationships/hyperlink" Target="https://github.com/71534031-debug/PROYECT-QR/blob/main/backend/src/routes/config.routes.js" TargetMode="External"/><Relationship Id="rId45" Type="http://schemas.openxmlformats.org/officeDocument/2006/relationships/hyperlink" Target="https://github.com/71534031-debug/PROYECT-QR/blob/main/database/schema.sql" TargetMode="External"/><Relationship Id="rId46" Type="http://schemas.openxmlformats.org/officeDocument/2006/relationships/hyperlink" Target="https://github.com/71534031-debug/PROYECT-QR/blob/main/database/schema.sql" TargetMode="External"/><Relationship Id="rId47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71534031-debug/PROYECT-QR/blob/main/backend/src/routes/auth.routes.js" TargetMode="External"/><Relationship Id="rId2" Type="http://schemas.openxmlformats.org/officeDocument/2006/relationships/hyperlink" Target="https://github.com/71534031-debug/PROYECT-QR/blob/main/frontend/src/pages/Login.jsx" TargetMode="External"/><Relationship Id="rId3" Type="http://schemas.openxmlformats.org/officeDocument/2006/relationships/hyperlink" Target="https://github.com/71534031-debug/PROYECT-QR/blob/main/database/schema.sql" TargetMode="External"/><Relationship Id="rId4" Type="http://schemas.openxmlformats.org/officeDocument/2006/relationships/hyperlink" Target="https://github.com/71534031-debug/PROYECT-QR/blob/main/backend/src/routes/actividades.routes.js" TargetMode="External"/><Relationship Id="rId5" Type="http://schemas.openxmlformats.org/officeDocument/2006/relationships/hyperlink" Target="https://github.com/71534031-debug/PROYECT-QR/blob/main/frontend/src/pages/Actividades.jsx" TargetMode="External"/><Relationship Id="rId6" Type="http://schemas.openxmlformats.org/officeDocument/2006/relationships/hyperlink" Target="https://github.com/71534031-debug/PROYECT-QR/blob/main/database/schema.sql" TargetMode="External"/><Relationship Id="rId7" Type="http://schemas.openxmlformats.org/officeDocument/2006/relationships/hyperlink" Target="https://github.com/71534031-debug/PROYECT-QR/blob/main/backend/src/routes/participantes.routes.js" TargetMode="External"/><Relationship Id="rId8" Type="http://schemas.openxmlformats.org/officeDocument/2006/relationships/hyperlink" Target="https://github.com/71534031-debug/PROYECT-QR/blob/main/frontend/src/pages/Participantes.jsx" TargetMode="External"/><Relationship Id="rId9" Type="http://schemas.openxmlformats.org/officeDocument/2006/relationships/hyperlink" Target="https://github.com/71534031-debug/PROYECT-QR/blob/main/database/schema.sql" TargetMode="External"/><Relationship Id="rId10" Type="http://schemas.openxmlformats.org/officeDocument/2006/relationships/hyperlink" Target="https://github.com/71534031-debug/PROYECT-QR/blob/main/backend/src/routes/plantillas.routes.js" TargetMode="External"/><Relationship Id="rId11" Type="http://schemas.openxmlformats.org/officeDocument/2006/relationships/hyperlink" Target="https://github.com/71534031-debug/PROYECT-QR/blob/main/frontend/src/pages/Plantillas.jsx" TargetMode="External"/><Relationship Id="rId12" Type="http://schemas.openxmlformats.org/officeDocument/2006/relationships/hyperlink" Target="https://github.com/71534031-debug/PROYECT-QR/blob/main/database/schema.sql" TargetMode="External"/><Relationship Id="rId13" Type="http://schemas.openxmlformats.org/officeDocument/2006/relationships/hyperlink" Target="https://github.com/71534031-debug/PROYECT-QR/blob/main/backend/src/routes/certificados.routes.js" TargetMode="External"/><Relationship Id="rId14" Type="http://schemas.openxmlformats.org/officeDocument/2006/relationships/hyperlink" Target="https://github.com/71534031-debug/PROYECT-QR/blob/main/frontend/src/pages/Certificados.jsx" TargetMode="External"/><Relationship Id="rId15" Type="http://schemas.openxmlformats.org/officeDocument/2006/relationships/hyperlink" Target="https://github.com/71534031-debug/PROYECT-QR/blob/main/database/schema.sql" TargetMode="External"/><Relationship Id="rId16" Type="http://schemas.openxmlformats.org/officeDocument/2006/relationships/hyperlink" Target="https://github.com/71534031-debug/PROYECT-QR/blob/main/backend/src/app.js" TargetMode="External"/><Relationship Id="rId17" Type="http://schemas.openxmlformats.org/officeDocument/2006/relationships/hyperlink" Target="https://github.com/71534031-debug/PROYECT-QR/blob/main/frontend/src/pages/Configuracion.jsx" TargetMode="External"/><Relationship Id="rId18" Type="http://schemas.openxmlformats.org/officeDocument/2006/relationships/hyperlink" Target="https://github.com/71534031-debug/PROYECT-QR/blob/main/database/schema.sql" TargetMode="External"/><Relationship Id="rId19" Type="http://schemas.openxmlformats.org/officeDocument/2006/relationships/hyperlink" Target="https://github.com/71534031-debug/PROYECT-QR/blob/main/backend/src/routes/validacion.routes.js" TargetMode="External"/><Relationship Id="rId20" Type="http://schemas.openxmlformats.org/officeDocument/2006/relationships/hyperlink" Target="https://github.com/71534031-debug/PROYECT-QR/blob/main/frontend/src/pages/Validar.jsx" TargetMode="External"/><Relationship Id="rId21" Type="http://schemas.openxmlformats.org/officeDocument/2006/relationships/hyperlink" Target="https://github.com/71534031-debug/PROYECT-QR/blob/main/database/schema.sql" TargetMode="External"/><Relationship Id="rId2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45.75" hidden="false" customHeight="true" outlineLevel="0" collapsed="false">
      <c r="A4" s="4" t="n">
        <v>1</v>
      </c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5" t="s">
        <v>17</v>
      </c>
      <c r="H4" s="5" t="s">
        <v>18</v>
      </c>
      <c r="I4" s="5" t="s">
        <v>19</v>
      </c>
      <c r="J4" s="7" t="s">
        <v>20</v>
      </c>
    </row>
    <row r="5" customFormat="false" ht="45.75" hidden="false" customHeight="true" outlineLevel="0" collapsed="false">
      <c r="A5" s="4" t="n">
        <v>2</v>
      </c>
      <c r="B5" s="5" t="s">
        <v>12</v>
      </c>
      <c r="C5" s="6" t="s">
        <v>21</v>
      </c>
      <c r="D5" s="6" t="s">
        <v>22</v>
      </c>
      <c r="E5" s="6" t="s">
        <v>23</v>
      </c>
      <c r="F5" s="6" t="s">
        <v>24</v>
      </c>
      <c r="G5" s="5" t="s">
        <v>17</v>
      </c>
      <c r="H5" s="5" t="s">
        <v>18</v>
      </c>
      <c r="I5" s="5" t="s">
        <v>19</v>
      </c>
      <c r="J5" s="7" t="s">
        <v>25</v>
      </c>
    </row>
    <row r="6" customFormat="false" ht="45.75" hidden="false" customHeight="true" outlineLevel="0" collapsed="false">
      <c r="A6" s="8" t="n">
        <v>3</v>
      </c>
      <c r="B6" s="9" t="s">
        <v>12</v>
      </c>
      <c r="C6" s="10" t="s">
        <v>26</v>
      </c>
      <c r="D6" s="10" t="s">
        <v>27</v>
      </c>
      <c r="E6" s="10" t="s">
        <v>28</v>
      </c>
      <c r="F6" s="10" t="s">
        <v>29</v>
      </c>
      <c r="G6" s="9" t="s">
        <v>30</v>
      </c>
      <c r="H6" s="9" t="s">
        <v>18</v>
      </c>
      <c r="I6" s="9" t="s">
        <v>31</v>
      </c>
      <c r="J6" s="11" t="s">
        <v>32</v>
      </c>
    </row>
    <row r="7" customFormat="false" ht="45.75" hidden="false" customHeight="true" outlineLevel="0" collapsed="false">
      <c r="A7" s="4" t="n">
        <v>4</v>
      </c>
      <c r="B7" s="5" t="s">
        <v>12</v>
      </c>
      <c r="C7" s="6" t="s">
        <v>33</v>
      </c>
      <c r="D7" s="6" t="s">
        <v>34</v>
      </c>
      <c r="E7" s="6" t="s">
        <v>35</v>
      </c>
      <c r="F7" s="6" t="s">
        <v>36</v>
      </c>
      <c r="G7" s="5" t="s">
        <v>17</v>
      </c>
      <c r="H7" s="5" t="s">
        <v>18</v>
      </c>
      <c r="I7" s="5" t="s">
        <v>31</v>
      </c>
      <c r="J7" s="7" t="s">
        <v>37</v>
      </c>
    </row>
    <row r="8" customFormat="false" ht="45.75" hidden="false" customHeight="true" outlineLevel="0" collapsed="false">
      <c r="A8" s="4" t="n">
        <v>5</v>
      </c>
      <c r="B8" s="5" t="s">
        <v>12</v>
      </c>
      <c r="C8" s="6" t="s">
        <v>38</v>
      </c>
      <c r="D8" s="6" t="s">
        <v>39</v>
      </c>
      <c r="E8" s="6" t="s">
        <v>40</v>
      </c>
      <c r="F8" s="6" t="s">
        <v>41</v>
      </c>
      <c r="G8" s="5" t="s">
        <v>17</v>
      </c>
      <c r="H8" s="5" t="s">
        <v>18</v>
      </c>
      <c r="I8" s="5" t="s">
        <v>42</v>
      </c>
      <c r="J8" s="7" t="s">
        <v>43</v>
      </c>
    </row>
    <row r="9" customFormat="false" ht="45.75" hidden="false" customHeight="true" outlineLevel="0" collapsed="false">
      <c r="A9" s="12" t="n">
        <v>6</v>
      </c>
      <c r="B9" s="13" t="s">
        <v>12</v>
      </c>
      <c r="C9" s="14" t="s">
        <v>44</v>
      </c>
      <c r="D9" s="14" t="s">
        <v>45</v>
      </c>
      <c r="E9" s="14" t="s">
        <v>46</v>
      </c>
      <c r="F9" s="14" t="s">
        <v>47</v>
      </c>
      <c r="G9" s="13" t="s">
        <v>48</v>
      </c>
      <c r="H9" s="13" t="s">
        <v>18</v>
      </c>
      <c r="I9" s="13" t="s">
        <v>42</v>
      </c>
      <c r="J9" s="15" t="s">
        <v>49</v>
      </c>
    </row>
    <row r="10" customFormat="false" ht="45.75" hidden="false" customHeight="true" outlineLevel="0" collapsed="false">
      <c r="A10" s="4" t="n">
        <v>7</v>
      </c>
      <c r="B10" s="5" t="s">
        <v>12</v>
      </c>
      <c r="C10" s="6" t="s">
        <v>50</v>
      </c>
      <c r="D10" s="6" t="s">
        <v>51</v>
      </c>
      <c r="E10" s="6" t="s">
        <v>52</v>
      </c>
      <c r="F10" s="6" t="s">
        <v>53</v>
      </c>
      <c r="G10" s="5" t="s">
        <v>17</v>
      </c>
      <c r="H10" s="5" t="s">
        <v>54</v>
      </c>
      <c r="I10" s="5" t="s">
        <v>19</v>
      </c>
      <c r="J10" s="7" t="s">
        <v>55</v>
      </c>
    </row>
    <row r="11" customFormat="false" ht="45.75" hidden="false" customHeight="true" outlineLevel="0" collapsed="false">
      <c r="A11" s="4" t="n">
        <v>8</v>
      </c>
      <c r="B11" s="5" t="s">
        <v>12</v>
      </c>
      <c r="C11" s="6" t="s">
        <v>56</v>
      </c>
      <c r="D11" s="6" t="s">
        <v>57</v>
      </c>
      <c r="E11" s="6" t="s">
        <v>58</v>
      </c>
      <c r="F11" s="6" t="s">
        <v>59</v>
      </c>
      <c r="G11" s="5" t="s">
        <v>17</v>
      </c>
      <c r="H11" s="5" t="s">
        <v>60</v>
      </c>
      <c r="I11" s="5" t="s">
        <v>31</v>
      </c>
      <c r="J11" s="7" t="s">
        <v>61</v>
      </c>
    </row>
    <row r="12" customFormat="false" ht="45.75" hidden="false" customHeight="true" outlineLevel="0" collapsed="false">
      <c r="A12" s="8" t="n">
        <v>9</v>
      </c>
      <c r="B12" s="9" t="s">
        <v>12</v>
      </c>
      <c r="C12" s="10" t="s">
        <v>62</v>
      </c>
      <c r="D12" s="10" t="s">
        <v>63</v>
      </c>
      <c r="E12" s="10" t="s">
        <v>64</v>
      </c>
      <c r="F12" s="10" t="s">
        <v>65</v>
      </c>
      <c r="G12" s="9" t="s">
        <v>30</v>
      </c>
      <c r="H12" s="9" t="s">
        <v>54</v>
      </c>
      <c r="I12" s="9" t="s">
        <v>19</v>
      </c>
      <c r="J12" s="11" t="s">
        <v>66</v>
      </c>
    </row>
    <row r="13" customFormat="false" ht="45.75" hidden="false" customHeight="true" outlineLevel="0" collapsed="false">
      <c r="A13" s="4" t="n">
        <v>10</v>
      </c>
      <c r="B13" s="5" t="s">
        <v>67</v>
      </c>
      <c r="C13" s="6" t="s">
        <v>68</v>
      </c>
      <c r="D13" s="6" t="s">
        <v>69</v>
      </c>
      <c r="E13" s="6" t="s">
        <v>70</v>
      </c>
      <c r="F13" s="6" t="s">
        <v>71</v>
      </c>
      <c r="G13" s="5" t="s">
        <v>17</v>
      </c>
      <c r="H13" s="5" t="s">
        <v>18</v>
      </c>
      <c r="I13" s="5" t="s">
        <v>31</v>
      </c>
      <c r="J13" s="7" t="s">
        <v>72</v>
      </c>
    </row>
    <row r="14" customFormat="false" ht="45.75" hidden="false" customHeight="true" outlineLevel="0" collapsed="false">
      <c r="A14" s="4" t="n">
        <v>11</v>
      </c>
      <c r="B14" s="5" t="s">
        <v>67</v>
      </c>
      <c r="C14" s="6" t="s">
        <v>73</v>
      </c>
      <c r="D14" s="6" t="s">
        <v>74</v>
      </c>
      <c r="E14" s="6" t="s">
        <v>75</v>
      </c>
      <c r="F14" s="6" t="s">
        <v>76</v>
      </c>
      <c r="G14" s="5" t="s">
        <v>17</v>
      </c>
      <c r="H14" s="5" t="s">
        <v>77</v>
      </c>
      <c r="I14" s="5" t="s">
        <v>31</v>
      </c>
      <c r="J14" s="7" t="s">
        <v>78</v>
      </c>
    </row>
    <row r="15" customFormat="false" ht="45.75" hidden="false" customHeight="true" outlineLevel="0" collapsed="false">
      <c r="A15" s="4" t="n">
        <v>12</v>
      </c>
      <c r="B15" s="5" t="s">
        <v>67</v>
      </c>
      <c r="C15" s="6" t="s">
        <v>79</v>
      </c>
      <c r="D15" s="6" t="s">
        <v>80</v>
      </c>
      <c r="E15" s="6" t="s">
        <v>81</v>
      </c>
      <c r="F15" s="6" t="s">
        <v>82</v>
      </c>
      <c r="G15" s="5" t="s">
        <v>17</v>
      </c>
      <c r="H15" s="5" t="s">
        <v>18</v>
      </c>
      <c r="I15" s="5" t="s">
        <v>31</v>
      </c>
      <c r="J15" s="7" t="s">
        <v>83</v>
      </c>
    </row>
    <row r="16" customFormat="false" ht="45.75" hidden="false" customHeight="true" outlineLevel="0" collapsed="false">
      <c r="A16" s="12" t="n">
        <v>13</v>
      </c>
      <c r="B16" s="13" t="s">
        <v>67</v>
      </c>
      <c r="C16" s="14" t="s">
        <v>84</v>
      </c>
      <c r="D16" s="14" t="s">
        <v>85</v>
      </c>
      <c r="E16" s="14" t="s">
        <v>86</v>
      </c>
      <c r="F16" s="14" t="s">
        <v>87</v>
      </c>
      <c r="G16" s="13" t="s">
        <v>48</v>
      </c>
      <c r="H16" s="13" t="s">
        <v>77</v>
      </c>
      <c r="I16" s="13" t="s">
        <v>31</v>
      </c>
      <c r="J16" s="15" t="s">
        <v>88</v>
      </c>
    </row>
    <row r="17" customFormat="false" ht="45.75" hidden="false" customHeight="true" outlineLevel="0" collapsed="false">
      <c r="A17" s="4" t="n">
        <v>14</v>
      </c>
      <c r="B17" s="5" t="s">
        <v>89</v>
      </c>
      <c r="C17" s="6" t="s">
        <v>90</v>
      </c>
      <c r="D17" s="6" t="s">
        <v>91</v>
      </c>
      <c r="E17" s="6" t="s">
        <v>92</v>
      </c>
      <c r="F17" s="6" t="s">
        <v>93</v>
      </c>
      <c r="G17" s="5" t="s">
        <v>17</v>
      </c>
      <c r="H17" s="5" t="s">
        <v>18</v>
      </c>
      <c r="I17" s="5" t="s">
        <v>31</v>
      </c>
      <c r="J17" s="7" t="s">
        <v>94</v>
      </c>
    </row>
    <row r="18" customFormat="false" ht="45.75" hidden="false" customHeight="true" outlineLevel="0" collapsed="false">
      <c r="A18" s="4" t="n">
        <v>15</v>
      </c>
      <c r="B18" s="5" t="s">
        <v>89</v>
      </c>
      <c r="C18" s="6" t="s">
        <v>95</v>
      </c>
      <c r="D18" s="6" t="s">
        <v>96</v>
      </c>
      <c r="E18" s="6" t="s">
        <v>97</v>
      </c>
      <c r="F18" s="6" t="s">
        <v>98</v>
      </c>
      <c r="G18" s="5" t="s">
        <v>17</v>
      </c>
      <c r="H18" s="5" t="s">
        <v>18</v>
      </c>
      <c r="I18" s="5" t="s">
        <v>31</v>
      </c>
      <c r="J18" s="7" t="s">
        <v>99</v>
      </c>
    </row>
    <row r="19" customFormat="false" ht="45.75" hidden="false" customHeight="true" outlineLevel="0" collapsed="false">
      <c r="A19" s="4" t="n">
        <v>16</v>
      </c>
      <c r="B19" s="5" t="s">
        <v>89</v>
      </c>
      <c r="C19" s="6" t="s">
        <v>100</v>
      </c>
      <c r="D19" s="6" t="s">
        <v>101</v>
      </c>
      <c r="E19" s="6" t="s">
        <v>102</v>
      </c>
      <c r="F19" s="6" t="s">
        <v>103</v>
      </c>
      <c r="G19" s="5" t="s">
        <v>17</v>
      </c>
      <c r="H19" s="5" t="s">
        <v>77</v>
      </c>
      <c r="I19" s="5" t="s">
        <v>31</v>
      </c>
      <c r="J19" s="7" t="s">
        <v>104</v>
      </c>
    </row>
    <row r="20" customFormat="false" ht="45.75" hidden="false" customHeight="true" outlineLevel="0" collapsed="false">
      <c r="A20" s="12" t="n">
        <v>17</v>
      </c>
      <c r="B20" s="13" t="s">
        <v>89</v>
      </c>
      <c r="C20" s="14" t="s">
        <v>105</v>
      </c>
      <c r="D20" s="14" t="s">
        <v>106</v>
      </c>
      <c r="E20" s="14" t="s">
        <v>107</v>
      </c>
      <c r="F20" s="14" t="s">
        <v>108</v>
      </c>
      <c r="G20" s="13" t="s">
        <v>48</v>
      </c>
      <c r="H20" s="13" t="s">
        <v>18</v>
      </c>
      <c r="I20" s="13" t="s">
        <v>31</v>
      </c>
      <c r="J20" s="15" t="s">
        <v>109</v>
      </c>
    </row>
    <row r="21" customFormat="false" ht="45.75" hidden="false" customHeight="true" outlineLevel="0" collapsed="false">
      <c r="A21" s="4" t="n">
        <v>18</v>
      </c>
      <c r="B21" s="5" t="s">
        <v>89</v>
      </c>
      <c r="C21" s="6" t="s">
        <v>110</v>
      </c>
      <c r="D21" s="6" t="s">
        <v>111</v>
      </c>
      <c r="E21" s="6" t="s">
        <v>112</v>
      </c>
      <c r="F21" s="6" t="s">
        <v>113</v>
      </c>
      <c r="G21" s="5" t="s">
        <v>17</v>
      </c>
      <c r="H21" s="5" t="s">
        <v>18</v>
      </c>
      <c r="I21" s="5" t="s">
        <v>31</v>
      </c>
      <c r="J21" s="7" t="s">
        <v>114</v>
      </c>
    </row>
    <row r="22" customFormat="false" ht="45.75" hidden="false" customHeight="true" outlineLevel="0" collapsed="false">
      <c r="A22" s="4" t="n">
        <v>19</v>
      </c>
      <c r="B22" s="5" t="s">
        <v>115</v>
      </c>
      <c r="C22" s="6" t="s">
        <v>116</v>
      </c>
      <c r="D22" s="6" t="s">
        <v>117</v>
      </c>
      <c r="E22" s="6" t="s">
        <v>118</v>
      </c>
      <c r="F22" s="6" t="s">
        <v>119</v>
      </c>
      <c r="G22" s="5" t="s">
        <v>17</v>
      </c>
      <c r="H22" s="5" t="s">
        <v>18</v>
      </c>
      <c r="I22" s="5" t="s">
        <v>31</v>
      </c>
      <c r="J22" s="7" t="s">
        <v>120</v>
      </c>
    </row>
    <row r="23" customFormat="false" ht="45.75" hidden="false" customHeight="true" outlineLevel="0" collapsed="false">
      <c r="A23" s="4" t="n">
        <v>20</v>
      </c>
      <c r="B23" s="5" t="s">
        <v>115</v>
      </c>
      <c r="C23" s="6" t="s">
        <v>121</v>
      </c>
      <c r="D23" s="6" t="s">
        <v>122</v>
      </c>
      <c r="E23" s="6" t="s">
        <v>123</v>
      </c>
      <c r="F23" s="6" t="s">
        <v>124</v>
      </c>
      <c r="G23" s="5" t="s">
        <v>17</v>
      </c>
      <c r="H23" s="5" t="s">
        <v>18</v>
      </c>
      <c r="I23" s="5" t="s">
        <v>31</v>
      </c>
      <c r="J23" s="7" t="s">
        <v>125</v>
      </c>
    </row>
    <row r="24" customFormat="false" ht="45.75" hidden="false" customHeight="true" outlineLevel="0" collapsed="false">
      <c r="A24" s="4" t="n">
        <v>21</v>
      </c>
      <c r="B24" s="5" t="s">
        <v>115</v>
      </c>
      <c r="C24" s="6" t="s">
        <v>126</v>
      </c>
      <c r="D24" s="6" t="s">
        <v>127</v>
      </c>
      <c r="E24" s="6" t="s">
        <v>128</v>
      </c>
      <c r="F24" s="6" t="s">
        <v>129</v>
      </c>
      <c r="G24" s="5" t="s">
        <v>17</v>
      </c>
      <c r="H24" s="5" t="s">
        <v>18</v>
      </c>
      <c r="I24" s="5" t="s">
        <v>31</v>
      </c>
      <c r="J24" s="7" t="s">
        <v>130</v>
      </c>
    </row>
    <row r="25" customFormat="false" ht="45.75" hidden="false" customHeight="true" outlineLevel="0" collapsed="false">
      <c r="A25" s="12" t="n">
        <v>22</v>
      </c>
      <c r="B25" s="13" t="s">
        <v>115</v>
      </c>
      <c r="C25" s="14" t="s">
        <v>131</v>
      </c>
      <c r="D25" s="14" t="s">
        <v>132</v>
      </c>
      <c r="E25" s="14" t="s">
        <v>133</v>
      </c>
      <c r="F25" s="14" t="s">
        <v>134</v>
      </c>
      <c r="G25" s="13" t="s">
        <v>48</v>
      </c>
      <c r="H25" s="13" t="s">
        <v>18</v>
      </c>
      <c r="I25" s="13" t="s">
        <v>31</v>
      </c>
      <c r="J25" s="15" t="s">
        <v>135</v>
      </c>
    </row>
    <row r="26" customFormat="false" ht="45.75" hidden="false" customHeight="true" outlineLevel="0" collapsed="false">
      <c r="A26" s="4" t="n">
        <v>23</v>
      </c>
      <c r="B26" s="5" t="s">
        <v>115</v>
      </c>
      <c r="C26" s="6" t="s">
        <v>136</v>
      </c>
      <c r="D26" s="6" t="s">
        <v>137</v>
      </c>
      <c r="E26" s="6" t="s">
        <v>138</v>
      </c>
      <c r="F26" s="6" t="s">
        <v>139</v>
      </c>
      <c r="G26" s="5" t="s">
        <v>17</v>
      </c>
      <c r="H26" s="5" t="s">
        <v>77</v>
      </c>
      <c r="I26" s="5" t="s">
        <v>31</v>
      </c>
      <c r="J26" s="7" t="s">
        <v>140</v>
      </c>
    </row>
    <row r="27" customFormat="false" ht="45.75" hidden="false" customHeight="true" outlineLevel="0" collapsed="false">
      <c r="A27" s="4" t="n">
        <v>24</v>
      </c>
      <c r="B27" s="5" t="s">
        <v>115</v>
      </c>
      <c r="C27" s="6" t="s">
        <v>141</v>
      </c>
      <c r="D27" s="6" t="s">
        <v>142</v>
      </c>
      <c r="E27" s="6" t="s">
        <v>143</v>
      </c>
      <c r="F27" s="6" t="s">
        <v>144</v>
      </c>
      <c r="G27" s="5" t="s">
        <v>17</v>
      </c>
      <c r="H27" s="5" t="s">
        <v>18</v>
      </c>
      <c r="I27" s="5" t="s">
        <v>19</v>
      </c>
      <c r="J27" s="7" t="s">
        <v>145</v>
      </c>
    </row>
    <row r="28" customFormat="false" ht="45.75" hidden="false" customHeight="true" outlineLevel="0" collapsed="false">
      <c r="A28" s="4" t="n">
        <v>25</v>
      </c>
      <c r="B28" s="5" t="s">
        <v>146</v>
      </c>
      <c r="C28" s="6" t="s">
        <v>147</v>
      </c>
      <c r="D28" s="6" t="s">
        <v>148</v>
      </c>
      <c r="E28" s="6" t="s">
        <v>149</v>
      </c>
      <c r="F28" s="6" t="s">
        <v>150</v>
      </c>
      <c r="G28" s="5" t="s">
        <v>17</v>
      </c>
      <c r="H28" s="5" t="s">
        <v>18</v>
      </c>
      <c r="I28" s="5" t="s">
        <v>31</v>
      </c>
      <c r="J28" s="7" t="s">
        <v>151</v>
      </c>
    </row>
    <row r="29" customFormat="false" ht="45.75" hidden="false" customHeight="true" outlineLevel="0" collapsed="false">
      <c r="A29" s="4" t="n">
        <v>26</v>
      </c>
      <c r="B29" s="5" t="s">
        <v>146</v>
      </c>
      <c r="C29" s="6" t="s">
        <v>152</v>
      </c>
      <c r="D29" s="6" t="s">
        <v>153</v>
      </c>
      <c r="E29" s="6" t="s">
        <v>154</v>
      </c>
      <c r="F29" s="6" t="s">
        <v>155</v>
      </c>
      <c r="G29" s="5" t="s">
        <v>17</v>
      </c>
      <c r="H29" s="5" t="s">
        <v>18</v>
      </c>
      <c r="I29" s="5" t="s">
        <v>31</v>
      </c>
      <c r="J29" s="7" t="s">
        <v>156</v>
      </c>
    </row>
    <row r="30" customFormat="false" ht="45.75" hidden="false" customHeight="true" outlineLevel="0" collapsed="false">
      <c r="A30" s="4" t="n">
        <v>27</v>
      </c>
      <c r="B30" s="5" t="s">
        <v>146</v>
      </c>
      <c r="C30" s="6" t="s">
        <v>157</v>
      </c>
      <c r="D30" s="6" t="s">
        <v>158</v>
      </c>
      <c r="E30" s="6" t="s">
        <v>159</v>
      </c>
      <c r="F30" s="6" t="s">
        <v>160</v>
      </c>
      <c r="G30" s="5" t="s">
        <v>17</v>
      </c>
      <c r="H30" s="5" t="s">
        <v>18</v>
      </c>
      <c r="I30" s="5" t="s">
        <v>31</v>
      </c>
      <c r="J30" s="7" t="s">
        <v>161</v>
      </c>
    </row>
    <row r="31" customFormat="false" ht="45.75" hidden="false" customHeight="true" outlineLevel="0" collapsed="false">
      <c r="A31" s="4" t="n">
        <v>28</v>
      </c>
      <c r="B31" s="5" t="s">
        <v>146</v>
      </c>
      <c r="C31" s="6" t="s">
        <v>162</v>
      </c>
      <c r="D31" s="6" t="s">
        <v>163</v>
      </c>
      <c r="E31" s="6" t="s">
        <v>164</v>
      </c>
      <c r="F31" s="6" t="s">
        <v>165</v>
      </c>
      <c r="G31" s="5" t="s">
        <v>17</v>
      </c>
      <c r="H31" s="5" t="s">
        <v>18</v>
      </c>
      <c r="I31" s="5" t="s">
        <v>31</v>
      </c>
      <c r="J31" s="7" t="s">
        <v>166</v>
      </c>
    </row>
    <row r="32" customFormat="false" ht="45.75" hidden="false" customHeight="true" outlineLevel="0" collapsed="false">
      <c r="A32" s="4" t="n">
        <v>29</v>
      </c>
      <c r="B32" s="5" t="s">
        <v>146</v>
      </c>
      <c r="C32" s="6" t="s">
        <v>167</v>
      </c>
      <c r="D32" s="6" t="s">
        <v>168</v>
      </c>
      <c r="E32" s="6" t="s">
        <v>169</v>
      </c>
      <c r="F32" s="6" t="s">
        <v>170</v>
      </c>
      <c r="G32" s="5" t="s">
        <v>17</v>
      </c>
      <c r="H32" s="5" t="s">
        <v>18</v>
      </c>
      <c r="I32" s="5" t="s">
        <v>19</v>
      </c>
      <c r="J32" s="7" t="s">
        <v>171</v>
      </c>
    </row>
    <row r="33" customFormat="false" ht="45.75" hidden="false" customHeight="true" outlineLevel="0" collapsed="false">
      <c r="A33" s="12" t="n">
        <v>30</v>
      </c>
      <c r="B33" s="13" t="s">
        <v>146</v>
      </c>
      <c r="C33" s="14" t="s">
        <v>172</v>
      </c>
      <c r="D33" s="14" t="s">
        <v>173</v>
      </c>
      <c r="E33" s="14" t="s">
        <v>174</v>
      </c>
      <c r="F33" s="14" t="s">
        <v>175</v>
      </c>
      <c r="G33" s="13" t="s">
        <v>48</v>
      </c>
      <c r="H33" s="13" t="s">
        <v>18</v>
      </c>
      <c r="I33" s="13" t="s">
        <v>31</v>
      </c>
      <c r="J33" s="15" t="s">
        <v>114</v>
      </c>
    </row>
    <row r="34" customFormat="false" ht="45.75" hidden="false" customHeight="true" outlineLevel="0" collapsed="false">
      <c r="A34" s="4" t="n">
        <v>31</v>
      </c>
      <c r="B34" s="5" t="s">
        <v>146</v>
      </c>
      <c r="C34" s="6" t="s">
        <v>176</v>
      </c>
      <c r="D34" s="6" t="s">
        <v>177</v>
      </c>
      <c r="E34" s="6" t="s">
        <v>178</v>
      </c>
      <c r="F34" s="6" t="s">
        <v>179</v>
      </c>
      <c r="G34" s="5" t="s">
        <v>17</v>
      </c>
      <c r="H34" s="5" t="s">
        <v>180</v>
      </c>
      <c r="I34" s="5" t="s">
        <v>19</v>
      </c>
      <c r="J34" s="7" t="s">
        <v>181</v>
      </c>
    </row>
    <row r="35" customFormat="false" ht="45.75" hidden="false" customHeight="true" outlineLevel="0" collapsed="false">
      <c r="A35" s="4" t="n">
        <v>32</v>
      </c>
      <c r="B35" s="5" t="s">
        <v>182</v>
      </c>
      <c r="C35" s="6" t="s">
        <v>183</v>
      </c>
      <c r="D35" s="6" t="s">
        <v>184</v>
      </c>
      <c r="E35" s="6" t="s">
        <v>185</v>
      </c>
      <c r="F35" s="6" t="s">
        <v>186</v>
      </c>
      <c r="G35" s="5" t="s">
        <v>17</v>
      </c>
      <c r="H35" s="5" t="s">
        <v>77</v>
      </c>
      <c r="I35" s="5" t="s">
        <v>31</v>
      </c>
      <c r="J35" s="7" t="s">
        <v>187</v>
      </c>
    </row>
    <row r="36" customFormat="false" ht="45.75" hidden="false" customHeight="true" outlineLevel="0" collapsed="false">
      <c r="A36" s="4" t="n">
        <v>33</v>
      </c>
      <c r="B36" s="5" t="s">
        <v>182</v>
      </c>
      <c r="C36" s="6" t="s">
        <v>188</v>
      </c>
      <c r="D36" s="6" t="s">
        <v>189</v>
      </c>
      <c r="E36" s="6" t="s">
        <v>81</v>
      </c>
      <c r="F36" s="6" t="s">
        <v>190</v>
      </c>
      <c r="G36" s="5" t="s">
        <v>17</v>
      </c>
      <c r="H36" s="5" t="s">
        <v>18</v>
      </c>
      <c r="I36" s="5" t="s">
        <v>19</v>
      </c>
      <c r="J36" s="7" t="s">
        <v>191</v>
      </c>
    </row>
    <row r="37" customFormat="false" ht="45.75" hidden="false" customHeight="true" outlineLevel="0" collapsed="false">
      <c r="A37" s="4" t="n">
        <v>34</v>
      </c>
      <c r="B37" s="5" t="s">
        <v>182</v>
      </c>
      <c r="C37" s="6" t="s">
        <v>192</v>
      </c>
      <c r="D37" s="6" t="s">
        <v>193</v>
      </c>
      <c r="E37" s="6" t="s">
        <v>194</v>
      </c>
      <c r="F37" s="6" t="s">
        <v>195</v>
      </c>
      <c r="G37" s="5" t="s">
        <v>17</v>
      </c>
      <c r="H37" s="5" t="s">
        <v>18</v>
      </c>
      <c r="I37" s="5" t="s">
        <v>19</v>
      </c>
      <c r="J37" s="7" t="s">
        <v>196</v>
      </c>
    </row>
    <row r="38" customFormat="false" ht="45.75" hidden="false" customHeight="true" outlineLevel="0" collapsed="false">
      <c r="A38" s="4" t="n">
        <v>35</v>
      </c>
      <c r="B38" s="5" t="s">
        <v>182</v>
      </c>
      <c r="C38" s="6" t="s">
        <v>197</v>
      </c>
      <c r="D38" s="6" t="s">
        <v>198</v>
      </c>
      <c r="E38" s="6" t="s">
        <v>199</v>
      </c>
      <c r="F38" s="6" t="s">
        <v>200</v>
      </c>
      <c r="G38" s="5" t="s">
        <v>17</v>
      </c>
      <c r="H38" s="5" t="s">
        <v>18</v>
      </c>
      <c r="I38" s="5" t="s">
        <v>19</v>
      </c>
      <c r="J38" s="7" t="s">
        <v>201</v>
      </c>
    </row>
    <row r="39" customFormat="false" ht="45.75" hidden="false" customHeight="true" outlineLevel="0" collapsed="false">
      <c r="A39" s="4" t="n">
        <v>36</v>
      </c>
      <c r="B39" s="5" t="s">
        <v>182</v>
      </c>
      <c r="C39" s="6" t="s">
        <v>202</v>
      </c>
      <c r="D39" s="6" t="s">
        <v>203</v>
      </c>
      <c r="E39" s="6" t="s">
        <v>204</v>
      </c>
      <c r="F39" s="6" t="s">
        <v>205</v>
      </c>
      <c r="G39" s="5" t="s">
        <v>17</v>
      </c>
      <c r="H39" s="5" t="s">
        <v>18</v>
      </c>
      <c r="I39" s="5" t="s">
        <v>19</v>
      </c>
      <c r="J39" s="7" t="s">
        <v>206</v>
      </c>
    </row>
    <row r="40" customFormat="false" ht="45.75" hidden="false" customHeight="true" outlineLevel="0" collapsed="false">
      <c r="A40" s="4" t="n">
        <v>37</v>
      </c>
      <c r="B40" s="5" t="s">
        <v>182</v>
      </c>
      <c r="C40" s="6" t="s">
        <v>207</v>
      </c>
      <c r="D40" s="6" t="s">
        <v>208</v>
      </c>
      <c r="E40" s="6" t="s">
        <v>209</v>
      </c>
      <c r="F40" s="6" t="s">
        <v>200</v>
      </c>
      <c r="G40" s="5" t="s">
        <v>17</v>
      </c>
      <c r="H40" s="5" t="s">
        <v>18</v>
      </c>
      <c r="I40" s="5" t="s">
        <v>19</v>
      </c>
      <c r="J40" s="7" t="s">
        <v>210</v>
      </c>
    </row>
    <row r="41" customFormat="false" ht="45.75" hidden="false" customHeight="true" outlineLevel="0" collapsed="false">
      <c r="A41" s="12" t="n">
        <v>38</v>
      </c>
      <c r="B41" s="13" t="s">
        <v>211</v>
      </c>
      <c r="C41" s="14" t="s">
        <v>212</v>
      </c>
      <c r="D41" s="14" t="s">
        <v>213</v>
      </c>
      <c r="E41" s="14" t="s">
        <v>214</v>
      </c>
      <c r="F41" s="14" t="s">
        <v>215</v>
      </c>
      <c r="G41" s="13" t="s">
        <v>48</v>
      </c>
      <c r="H41" s="13" t="s">
        <v>18</v>
      </c>
      <c r="I41" s="13" t="s">
        <v>42</v>
      </c>
      <c r="J41" s="15" t="s">
        <v>216</v>
      </c>
    </row>
    <row r="42" customFormat="false" ht="45.75" hidden="false" customHeight="true" outlineLevel="0" collapsed="false">
      <c r="A42" s="4" t="n">
        <v>39</v>
      </c>
      <c r="B42" s="5" t="s">
        <v>211</v>
      </c>
      <c r="C42" s="6" t="s">
        <v>217</v>
      </c>
      <c r="D42" s="6" t="s">
        <v>218</v>
      </c>
      <c r="E42" s="6" t="s">
        <v>219</v>
      </c>
      <c r="F42" s="6" t="s">
        <v>220</v>
      </c>
      <c r="G42" s="5" t="s">
        <v>17</v>
      </c>
      <c r="H42" s="5" t="s">
        <v>18</v>
      </c>
      <c r="I42" s="5" t="s">
        <v>42</v>
      </c>
      <c r="J42" s="7" t="s">
        <v>221</v>
      </c>
    </row>
    <row r="43" customFormat="false" ht="45.75" hidden="false" customHeight="true" outlineLevel="0" collapsed="false">
      <c r="A43" s="4" t="n">
        <v>40</v>
      </c>
      <c r="B43" s="5" t="s">
        <v>211</v>
      </c>
      <c r="C43" s="6" t="s">
        <v>222</v>
      </c>
      <c r="D43" s="6" t="s">
        <v>223</v>
      </c>
      <c r="E43" s="6" t="s">
        <v>164</v>
      </c>
      <c r="F43" s="6" t="s">
        <v>224</v>
      </c>
      <c r="G43" s="5" t="s">
        <v>17</v>
      </c>
      <c r="H43" s="5" t="s">
        <v>18</v>
      </c>
      <c r="I43" s="5" t="s">
        <v>225</v>
      </c>
      <c r="J43" s="7" t="s">
        <v>226</v>
      </c>
    </row>
    <row r="44" customFormat="false" ht="45.75" hidden="false" customHeight="true" outlineLevel="0" collapsed="false">
      <c r="A44" s="12" t="n">
        <v>41</v>
      </c>
      <c r="B44" s="13" t="s">
        <v>211</v>
      </c>
      <c r="C44" s="14" t="s">
        <v>227</v>
      </c>
      <c r="D44" s="14" t="s">
        <v>228</v>
      </c>
      <c r="E44" s="14" t="s">
        <v>229</v>
      </c>
      <c r="F44" s="14" t="s">
        <v>230</v>
      </c>
      <c r="G44" s="13" t="s">
        <v>48</v>
      </c>
      <c r="H44" s="13" t="s">
        <v>18</v>
      </c>
      <c r="I44" s="13" t="s">
        <v>42</v>
      </c>
      <c r="J44" s="15" t="s">
        <v>231</v>
      </c>
    </row>
    <row r="45" customFormat="false" ht="45.75" hidden="false" customHeight="true" outlineLevel="0" collapsed="false">
      <c r="A45" s="4" t="n">
        <v>42</v>
      </c>
      <c r="B45" s="5" t="s">
        <v>232</v>
      </c>
      <c r="C45" s="6" t="s">
        <v>233</v>
      </c>
      <c r="D45" s="6" t="s">
        <v>234</v>
      </c>
      <c r="E45" s="6" t="s">
        <v>235</v>
      </c>
      <c r="F45" s="6" t="s">
        <v>236</v>
      </c>
      <c r="G45" s="5" t="s">
        <v>17</v>
      </c>
      <c r="H45" s="5" t="s">
        <v>237</v>
      </c>
      <c r="I45" s="5" t="s">
        <v>238</v>
      </c>
      <c r="J45" s="7" t="s">
        <v>239</v>
      </c>
    </row>
    <row r="46" customFormat="false" ht="45.75" hidden="false" customHeight="true" outlineLevel="0" collapsed="false">
      <c r="A46" s="12" t="n">
        <v>43</v>
      </c>
      <c r="B46" s="13" t="s">
        <v>232</v>
      </c>
      <c r="C46" s="14" t="s">
        <v>240</v>
      </c>
      <c r="D46" s="14" t="s">
        <v>241</v>
      </c>
      <c r="E46" s="14" t="s">
        <v>242</v>
      </c>
      <c r="F46" s="14" t="s">
        <v>243</v>
      </c>
      <c r="G46" s="13" t="s">
        <v>48</v>
      </c>
      <c r="H46" s="13" t="s">
        <v>18</v>
      </c>
      <c r="I46" s="13" t="s">
        <v>238</v>
      </c>
      <c r="J46" s="15" t="s">
        <v>151</v>
      </c>
    </row>
    <row r="47" customFormat="false" ht="45.75" hidden="false" customHeight="true" outlineLevel="0" collapsed="false">
      <c r="A47" s="12" t="n">
        <v>44</v>
      </c>
      <c r="B47" s="13" t="s">
        <v>232</v>
      </c>
      <c r="C47" s="14" t="s">
        <v>244</v>
      </c>
      <c r="D47" s="14" t="s">
        <v>245</v>
      </c>
      <c r="E47" s="14" t="s">
        <v>246</v>
      </c>
      <c r="F47" s="14" t="s">
        <v>247</v>
      </c>
      <c r="G47" s="13" t="s">
        <v>48</v>
      </c>
      <c r="H47" s="13" t="s">
        <v>18</v>
      </c>
      <c r="I47" s="13" t="s">
        <v>19</v>
      </c>
      <c r="J47" s="15" t="s">
        <v>191</v>
      </c>
    </row>
    <row r="48" customFormat="false" ht="45.75" hidden="false" customHeight="true" outlineLevel="0" collapsed="false">
      <c r="A48" s="4" t="n">
        <v>45</v>
      </c>
      <c r="B48" s="5" t="s">
        <v>232</v>
      </c>
      <c r="C48" s="6" t="s">
        <v>248</v>
      </c>
      <c r="D48" s="6" t="s">
        <v>249</v>
      </c>
      <c r="E48" s="6" t="s">
        <v>250</v>
      </c>
      <c r="F48" s="6" t="s">
        <v>251</v>
      </c>
      <c r="G48" s="5" t="s">
        <v>17</v>
      </c>
      <c r="H48" s="5" t="s">
        <v>252</v>
      </c>
      <c r="I48" s="5" t="s">
        <v>238</v>
      </c>
      <c r="J48" s="7" t="s">
        <v>253</v>
      </c>
    </row>
    <row r="49" customFormat="false" ht="45.75" hidden="false" customHeight="true" outlineLevel="0" collapsed="false">
      <c r="A49" s="4" t="n">
        <v>46</v>
      </c>
      <c r="B49" s="5" t="s">
        <v>232</v>
      </c>
      <c r="C49" s="6" t="s">
        <v>254</v>
      </c>
      <c r="D49" s="6" t="s">
        <v>255</v>
      </c>
      <c r="E49" s="6" t="s">
        <v>256</v>
      </c>
      <c r="F49" s="6" t="s">
        <v>257</v>
      </c>
      <c r="G49" s="5" t="s">
        <v>17</v>
      </c>
      <c r="H49" s="5" t="s">
        <v>18</v>
      </c>
      <c r="I49" s="5" t="s">
        <v>238</v>
      </c>
      <c r="J49" s="7" t="s">
        <v>258</v>
      </c>
    </row>
  </sheetData>
  <mergeCells count="2">
    <mergeCell ref="A1:J1"/>
    <mergeCell ref="A2:J2"/>
  </mergeCells>
  <hyperlinks>
    <hyperlink ref="J4" r:id="rId1" location="L14" display="auth.routes.js#L14"/>
    <hyperlink ref="J5" r:id="rId2" location="L14" display="auth.routes.js#L14-L55"/>
    <hyperlink ref="J6" r:id="rId3" location="L57" display="auth.routes.js#L57"/>
    <hyperlink ref="J7" r:id="rId4" location="L81" display="auth.routes.js#L81"/>
    <hyperlink ref="J8" r:id="rId5" location="L96" display="auth.routes.js#L96"/>
    <hyperlink ref="J9" r:id="rId6" location="L153" display="auth.routes.js#L153"/>
    <hyperlink ref="J10" r:id="rId7" location="L1" display="requireRoles.js#L1"/>
    <hyperlink ref="J11" r:id="rId8" location="L164" display="App.jsx#L164"/>
    <hyperlink ref="J12" r:id="rId9" location="L48" display="api.js#L48"/>
    <hyperlink ref="J13" r:id="rId10" location="L10" display="actividades.routes.js#L10"/>
    <hyperlink ref="J14" r:id="rId11" location="L34" display="actividades.routes.js#L34"/>
    <hyperlink ref="J15" r:id="rId12" location="L40" display="actividades.routes.js#L40"/>
    <hyperlink ref="J16" r:id="rId13" location="L97" display="Dashboard.jsx#L97"/>
    <hyperlink ref="J17" r:id="rId14" location="L27" display="participantes.routes.js#L27"/>
    <hyperlink ref="J18" r:id="rId15" location="L88" display="participantes.routes.js#L88"/>
    <hyperlink ref="J19" r:id="rId16" location="L168" display="participantes.routes.js#L168"/>
    <hyperlink ref="J20" r:id="rId17" location="L182" display="participantes.routes.js#L182"/>
    <hyperlink ref="J21" r:id="rId18" location="L18" display="Certificados.jsx#L18"/>
    <hyperlink ref="J22" r:id="rId19" location="L38" display="plantillas.routes.js#L38"/>
    <hyperlink ref="J23" r:id="rId20" location="L158" display="plantillas.routes.js#L158"/>
    <hyperlink ref="J24" r:id="rId21" location="L139" display="plantillas.routes.js#L139"/>
    <hyperlink ref="J25" r:id="rId22" location="L103" display="plantillas.routes.js#L103"/>
    <hyperlink ref="J26" r:id="rId23" location="L63" display="plantillas.routes.js#L63"/>
    <hyperlink ref="J27" r:id="rId24" location="L185" display="plantillas.routes.js#L185"/>
    <hyperlink ref="J28" r:id="rId25" location="L25" display="certificados.routes.js#L25"/>
    <hyperlink ref="J29" r:id="rId26" location="L143" display="certificados.routes.js#L143"/>
    <hyperlink ref="J30" r:id="rId27" location="L201" display="certificados.routes.js#L201"/>
    <hyperlink ref="J31" r:id="rId28" location="L165" display="certificados.routes.js#L165"/>
    <hyperlink ref="J32" r:id="rId29" location="L228" display="certificados.routes.js#L228"/>
    <hyperlink ref="J33" r:id="rId30" location="L18" display="Certificados.jsx#L18"/>
    <hyperlink ref="J34" r:id="rId31" location="L48" display="certificatePdf.js#L48"/>
    <hyperlink ref="J35" r:id="rId32" location="L10" display="config.routes.js#L10"/>
    <hyperlink ref="J36" r:id="rId33" location="L16" display="config.routes.js#L16"/>
    <hyperlink ref="J37" r:id="rId34" location="L66" display="app.js#L66"/>
    <hyperlink ref="J38" r:id="rId35" location="L89" display="app.js#L89"/>
    <hyperlink ref="J39" r:id="rId36" location="L110" display="app.js#L110"/>
    <hyperlink ref="J40" r:id="rId37" location="L133" display="app.js#L133"/>
    <hyperlink ref="J41" r:id="rId38" location="L77" display="validacion.routes.js#L77"/>
    <hyperlink ref="J42" r:id="rId39" location="L84" display="validacion.routes.js#L84"/>
    <hyperlink ref="J43" r:id="rId40" location="L10" display="entrega.routes.js#L10"/>
    <hyperlink ref="J44" r:id="rId41" location="L6" display="Validar.jsx#L6"/>
    <hyperlink ref="J45" r:id="rId42" location="L137" display="schema.sql#L137"/>
    <hyperlink ref="J46" r:id="rId43" location="L25" display="certificados.routes.js#L25"/>
    <hyperlink ref="J47" r:id="rId44" location="L16" display="config.routes.js#L16"/>
    <hyperlink ref="J48" r:id="rId45" location="L14" display="schema.sql#L14"/>
    <hyperlink ref="J49" r:id="rId46" location="L26" display="schema.sql#L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259</v>
      </c>
      <c r="B1" s="1"/>
      <c r="C1" s="1"/>
      <c r="D1" s="1"/>
    </row>
    <row r="2" customFormat="false" ht="15.75" hidden="false" customHeight="true" outlineLevel="0" collapsed="false">
      <c r="A2" s="2" t="s">
        <v>260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261</v>
      </c>
      <c r="D3" s="3" t="s">
        <v>10</v>
      </c>
    </row>
    <row r="4" customFormat="false" ht="19.5" hidden="false" customHeight="true" outlineLevel="0" collapsed="false">
      <c r="A4" s="16" t="s">
        <v>262</v>
      </c>
      <c r="B4" s="17" t="s">
        <v>263</v>
      </c>
      <c r="C4" s="18" t="s">
        <v>264</v>
      </c>
      <c r="D4" s="18" t="s">
        <v>19</v>
      </c>
    </row>
    <row r="5" customFormat="false" ht="19.5" hidden="false" customHeight="true" outlineLevel="0" collapsed="false">
      <c r="A5" s="19" t="s">
        <v>265</v>
      </c>
      <c r="B5" s="20" t="s">
        <v>266</v>
      </c>
      <c r="C5" s="21" t="s">
        <v>5</v>
      </c>
      <c r="D5" s="21" t="s">
        <v>31</v>
      </c>
    </row>
    <row r="6" customFormat="false" ht="19.5" hidden="false" customHeight="true" outlineLevel="0" collapsed="false">
      <c r="A6" s="16" t="s">
        <v>267</v>
      </c>
      <c r="B6" s="17" t="s">
        <v>268</v>
      </c>
      <c r="C6" s="18" t="s">
        <v>269</v>
      </c>
      <c r="D6" s="18" t="s">
        <v>31</v>
      </c>
    </row>
    <row r="7" customFormat="false" ht="19.5" hidden="false" customHeight="true" outlineLevel="0" collapsed="false">
      <c r="A7" s="19" t="s">
        <v>270</v>
      </c>
      <c r="B7" s="20" t="s">
        <v>271</v>
      </c>
      <c r="C7" s="21" t="s">
        <v>272</v>
      </c>
      <c r="D7" s="21" t="s">
        <v>31</v>
      </c>
    </row>
    <row r="8" customFormat="false" ht="19.5" hidden="false" customHeight="true" outlineLevel="0" collapsed="false">
      <c r="A8" s="16" t="s">
        <v>273</v>
      </c>
      <c r="B8" s="17" t="s">
        <v>274</v>
      </c>
      <c r="C8" s="18" t="s">
        <v>275</v>
      </c>
      <c r="D8" s="18" t="s">
        <v>19</v>
      </c>
    </row>
    <row r="9" customFormat="false" ht="19.5" hidden="false" customHeight="true" outlineLevel="0" collapsed="false">
      <c r="A9" s="19" t="s">
        <v>276</v>
      </c>
      <c r="B9" s="20" t="s">
        <v>277</v>
      </c>
      <c r="C9" s="21" t="s">
        <v>278</v>
      </c>
      <c r="D9" s="21" t="s">
        <v>19</v>
      </c>
    </row>
    <row r="10" customFormat="false" ht="19.5" hidden="false" customHeight="true" outlineLevel="0" collapsed="false">
      <c r="A10" s="16" t="s">
        <v>279</v>
      </c>
      <c r="B10" s="17" t="s">
        <v>280</v>
      </c>
      <c r="C10" s="18" t="s">
        <v>281</v>
      </c>
      <c r="D10" s="18" t="s">
        <v>42</v>
      </c>
    </row>
    <row r="11" customFormat="false" ht="19.5" hidden="false" customHeight="true" outlineLevel="0" collapsed="false">
      <c r="A11" s="19" t="s">
        <v>282</v>
      </c>
      <c r="B11" s="20" t="s">
        <v>283</v>
      </c>
      <c r="C11" s="21" t="s">
        <v>284</v>
      </c>
      <c r="D11" s="21" t="s">
        <v>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26"/>
  </cols>
  <sheetData>
    <row r="1" customFormat="false" ht="25.5" hidden="false" customHeight="true" outlineLevel="0" collapsed="false">
      <c r="A1" s="1" t="s">
        <v>285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286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287</v>
      </c>
      <c r="D3" s="3" t="s">
        <v>288</v>
      </c>
      <c r="E3" s="3" t="s">
        <v>289</v>
      </c>
    </row>
    <row r="4" customFormat="false" ht="18" hidden="false" customHeight="true" outlineLevel="0" collapsed="false">
      <c r="A4" s="19" t="s">
        <v>262</v>
      </c>
      <c r="B4" s="20" t="s">
        <v>290</v>
      </c>
      <c r="C4" s="22" t="s">
        <v>291</v>
      </c>
      <c r="D4" s="22" t="s">
        <v>292</v>
      </c>
      <c r="E4" s="22" t="s">
        <v>293</v>
      </c>
    </row>
    <row r="5" customFormat="false" ht="18" hidden="false" customHeight="true" outlineLevel="0" collapsed="false">
      <c r="A5" s="19" t="s">
        <v>265</v>
      </c>
      <c r="B5" s="20" t="s">
        <v>5</v>
      </c>
      <c r="C5" s="22" t="s">
        <v>294</v>
      </c>
      <c r="D5" s="22" t="s">
        <v>295</v>
      </c>
      <c r="E5" s="22" t="s">
        <v>296</v>
      </c>
    </row>
    <row r="6" customFormat="false" ht="18" hidden="false" customHeight="true" outlineLevel="0" collapsed="false">
      <c r="A6" s="19" t="s">
        <v>267</v>
      </c>
      <c r="B6" s="20" t="s">
        <v>269</v>
      </c>
      <c r="C6" s="22" t="s">
        <v>297</v>
      </c>
      <c r="D6" s="22" t="s">
        <v>298</v>
      </c>
      <c r="E6" s="22" t="s">
        <v>299</v>
      </c>
    </row>
    <row r="7" customFormat="false" ht="18" hidden="false" customHeight="true" outlineLevel="0" collapsed="false">
      <c r="A7" s="19" t="s">
        <v>270</v>
      </c>
      <c r="B7" s="20" t="s">
        <v>272</v>
      </c>
      <c r="C7" s="22" t="s">
        <v>300</v>
      </c>
      <c r="D7" s="22" t="s">
        <v>301</v>
      </c>
      <c r="E7" s="22" t="s">
        <v>302</v>
      </c>
    </row>
    <row r="8" customFormat="false" ht="18" hidden="false" customHeight="true" outlineLevel="0" collapsed="false">
      <c r="A8" s="19" t="s">
        <v>273</v>
      </c>
      <c r="B8" s="20" t="s">
        <v>275</v>
      </c>
      <c r="C8" s="22" t="s">
        <v>303</v>
      </c>
      <c r="D8" s="22" t="s">
        <v>304</v>
      </c>
      <c r="E8" s="22" t="s">
        <v>305</v>
      </c>
    </row>
    <row r="9" customFormat="false" ht="18" hidden="false" customHeight="true" outlineLevel="0" collapsed="false">
      <c r="A9" s="19" t="s">
        <v>276</v>
      </c>
      <c r="B9" s="20" t="s">
        <v>278</v>
      </c>
      <c r="C9" s="22" t="s">
        <v>306</v>
      </c>
      <c r="D9" s="22" t="s">
        <v>307</v>
      </c>
      <c r="E9" s="22" t="s">
        <v>308</v>
      </c>
    </row>
    <row r="10" customFormat="false" ht="18" hidden="false" customHeight="true" outlineLevel="0" collapsed="false">
      <c r="A10" s="19" t="s">
        <v>279</v>
      </c>
      <c r="B10" s="20" t="s">
        <v>309</v>
      </c>
      <c r="C10" s="22" t="s">
        <v>310</v>
      </c>
      <c r="D10" s="22" t="s">
        <v>311</v>
      </c>
      <c r="E10" s="23" t="s">
        <v>312</v>
      </c>
    </row>
    <row r="11" customFormat="false" ht="18" hidden="false" customHeight="true" outlineLevel="0" collapsed="false">
      <c r="A11" s="19" t="s">
        <v>282</v>
      </c>
      <c r="B11" s="20" t="s">
        <v>313</v>
      </c>
      <c r="C11" s="23" t="s">
        <v>314</v>
      </c>
      <c r="D11" s="23" t="s">
        <v>315</v>
      </c>
      <c r="E11" s="22" t="s">
        <v>316</v>
      </c>
    </row>
  </sheetData>
  <mergeCells count="2">
    <mergeCell ref="A1:E1"/>
    <mergeCell ref="A2:E2"/>
  </mergeCells>
  <hyperlinks>
    <hyperlink ref="C4" r:id="rId1" display="auth.routes.js"/>
    <hyperlink ref="D4" r:id="rId2" location="L18" display="Login.jsx"/>
    <hyperlink ref="E4" r:id="rId3" location="L4" display="usuarios"/>
    <hyperlink ref="C5" r:id="rId4" display="actividades.routes.js"/>
    <hyperlink ref="D5" r:id="rId5" location="L31" display="Actividades.jsx"/>
    <hyperlink ref="E5" r:id="rId6" location="L37" display="actividades"/>
    <hyperlink ref="C6" r:id="rId7" display="participantes.routes.js"/>
    <hyperlink ref="D6" r:id="rId8" location="L17" display="Participantes.jsx"/>
    <hyperlink ref="E6" r:id="rId9" location="L52" display="participantes"/>
    <hyperlink ref="C7" r:id="rId10" display="plantillas.routes.js"/>
    <hyperlink ref="D7" r:id="rId11" location="L110" display="Plantillas.jsx"/>
    <hyperlink ref="E7" r:id="rId12" location="L79" display="plantillas"/>
    <hyperlink ref="C8" r:id="rId13" display="certificados.routes.js"/>
    <hyperlink ref="D8" r:id="rId14" location="L18" display="Certificados.jsx"/>
    <hyperlink ref="E8" r:id="rId15" location="L119" display="certificados"/>
    <hyperlink ref="C9" r:id="rId16" location="L66" display="app.js"/>
    <hyperlink ref="D9" r:id="rId17" location="L17" display="Configuracion.jsx"/>
    <hyperlink ref="E9" r:id="rId18" location="L105" display="configuracion_institucional"/>
    <hyperlink ref="C10" r:id="rId19" display="validacion.routes.js"/>
    <hyperlink ref="D10" r:id="rId20" location="L6" display="Validar.jsx"/>
    <hyperlink ref="E11" r:id="rId21" location="L137" display="auditoria_event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25.5" hidden="false" customHeight="true" outlineLevel="0" collapsed="false">
      <c r="A1" s="1" t="s">
        <v>317</v>
      </c>
      <c r="B1" s="1"/>
      <c r="C1" s="1"/>
    </row>
    <row r="2" customFormat="false" ht="15.75" hidden="false" customHeight="true" outlineLevel="0" collapsed="false">
      <c r="A2" s="2" t="s">
        <v>318</v>
      </c>
      <c r="B2" s="2"/>
      <c r="C2" s="2"/>
    </row>
    <row r="3" customFormat="false" ht="21.75" hidden="false" customHeight="true" outlineLevel="0" collapsed="false">
      <c r="A3" s="3" t="s">
        <v>8</v>
      </c>
      <c r="B3" s="3" t="s">
        <v>319</v>
      </c>
      <c r="C3" s="3" t="s">
        <v>320</v>
      </c>
    </row>
    <row r="4" customFormat="false" ht="15" hidden="false" customHeight="false" outlineLevel="0" collapsed="false">
      <c r="A4" s="24" t="s">
        <v>17</v>
      </c>
      <c r="B4" s="21" t="n">
        <f aca="false">COUNTIF('Matriz de Control'!$G$4:$G$49,A4)</f>
        <v>35</v>
      </c>
      <c r="C4" s="25" t="n">
        <f aca="false">B4/SUM($B$4:$B$6)</f>
        <v>0.760869565217391</v>
      </c>
    </row>
    <row r="5" customFormat="false" ht="15" hidden="false" customHeight="false" outlineLevel="0" collapsed="false">
      <c r="A5" s="26" t="s">
        <v>48</v>
      </c>
      <c r="B5" s="21" t="n">
        <f aca="false">COUNTIF('Matriz de Control'!$G$4:$G$49,A5)</f>
        <v>9</v>
      </c>
      <c r="C5" s="25" t="n">
        <f aca="false">B5/SUM($B$4:$B$6)</f>
        <v>0.195652173913044</v>
      </c>
    </row>
    <row r="6" customFormat="false" ht="15" hidden="false" customHeight="false" outlineLevel="0" collapsed="false">
      <c r="A6" s="27" t="s">
        <v>30</v>
      </c>
      <c r="B6" s="21" t="n">
        <f aca="false">COUNTIF('Matriz de Control'!$G$4:$G$49,A6)</f>
        <v>2</v>
      </c>
      <c r="C6" s="25" t="n">
        <f aca="false">B6/SUM($B$4:$B$6)</f>
        <v>0.0434782608695652</v>
      </c>
    </row>
    <row r="7" customFormat="false" ht="15" hidden="false" customHeight="false" outlineLevel="0" collapsed="false">
      <c r="A7" s="28" t="s">
        <v>321</v>
      </c>
      <c r="B7" s="19" t="n">
        <f aca="false">SUM(B4:B6)</f>
        <v>46</v>
      </c>
      <c r="C7" s="29" t="n">
        <f aca="false">SUM(C4:C6)</f>
        <v>1</v>
      </c>
    </row>
    <row r="18" customFormat="false" ht="15" hidden="false" customHeight="false" outlineLevel="0" collapsed="false">
      <c r="A18" s="30" t="s">
        <v>322</v>
      </c>
    </row>
    <row r="19" customFormat="false" ht="19.5" hidden="false" customHeight="true" outlineLevel="0" collapsed="false">
      <c r="A19" s="3" t="s">
        <v>3</v>
      </c>
      <c r="B19" s="3" t="s">
        <v>319</v>
      </c>
    </row>
    <row r="20" customFormat="false" ht="23.85" hidden="false" customHeight="false" outlineLevel="0" collapsed="false">
      <c r="A20" s="23" t="s">
        <v>12</v>
      </c>
      <c r="B20" s="21" t="n">
        <f aca="false">COUNTIF('Matriz de Control'!$B$4:$B$49,A20)</f>
        <v>9</v>
      </c>
    </row>
    <row r="21" customFormat="false" ht="15" hidden="false" customHeight="false" outlineLevel="0" collapsed="false">
      <c r="A21" s="23" t="s">
        <v>67</v>
      </c>
      <c r="B21" s="21" t="n">
        <f aca="false">COUNTIF('Matriz de Control'!$B$4:$B$49,A21)</f>
        <v>4</v>
      </c>
    </row>
    <row r="22" customFormat="false" ht="23.85" hidden="false" customHeight="false" outlineLevel="0" collapsed="false">
      <c r="A22" s="23" t="s">
        <v>89</v>
      </c>
      <c r="B22" s="21" t="n">
        <f aca="false">COUNTIF('Matriz de Control'!$B$4:$B$49,A22)</f>
        <v>5</v>
      </c>
    </row>
    <row r="23" customFormat="false" ht="15" hidden="false" customHeight="false" outlineLevel="0" collapsed="false">
      <c r="A23" s="23" t="s">
        <v>115</v>
      </c>
      <c r="B23" s="21" t="n">
        <f aca="false">COUNTIF('Matriz de Control'!$B$4:$B$49,A23)</f>
        <v>6</v>
      </c>
    </row>
    <row r="24" customFormat="false" ht="23.85" hidden="false" customHeight="false" outlineLevel="0" collapsed="false">
      <c r="A24" s="23" t="s">
        <v>146</v>
      </c>
      <c r="B24" s="21" t="n">
        <f aca="false">COUNTIF('Matriz de Control'!$B$4:$B$49,A24)</f>
        <v>7</v>
      </c>
    </row>
    <row r="25" customFormat="false" ht="23.85" hidden="false" customHeight="false" outlineLevel="0" collapsed="false">
      <c r="A25" s="23" t="s">
        <v>182</v>
      </c>
      <c r="B25" s="21" t="n">
        <f aca="false">COUNTIF('Matriz de Control'!$B$4:$B$49,A25)</f>
        <v>6</v>
      </c>
    </row>
    <row r="26" customFormat="false" ht="15" hidden="false" customHeight="false" outlineLevel="0" collapsed="false">
      <c r="A26" s="23" t="s">
        <v>211</v>
      </c>
      <c r="B26" s="21" t="n">
        <f aca="false">COUNTIF('Matriz de Control'!$B$4:$B$49,A26)</f>
        <v>4</v>
      </c>
    </row>
    <row r="27" customFormat="false" ht="23.85" hidden="false" customHeight="false" outlineLevel="0" collapsed="false">
      <c r="A27" s="23" t="s">
        <v>232</v>
      </c>
      <c r="B27" s="21" t="n">
        <f aca="false">COUNTIF('Matriz de Control'!$B$4:$B$49,A27)</f>
        <v>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323</v>
      </c>
      <c r="B1" s="1"/>
    </row>
    <row r="2" customFormat="false" ht="15.75" hidden="false" customHeight="true" outlineLevel="0" collapsed="false">
      <c r="A2" s="2" t="s">
        <v>324</v>
      </c>
      <c r="B2" s="2"/>
    </row>
    <row r="3" customFormat="false" ht="19.5" hidden="false" customHeight="true" outlineLevel="0" collapsed="false">
      <c r="A3" s="3" t="s">
        <v>325</v>
      </c>
      <c r="B3" s="3" t="s">
        <v>326</v>
      </c>
    </row>
    <row r="4" customFormat="false" ht="18" hidden="false" customHeight="true" outlineLevel="0" collapsed="false">
      <c r="A4" s="20" t="s">
        <v>3</v>
      </c>
      <c r="B4" s="23" t="s">
        <v>327</v>
      </c>
    </row>
    <row r="5" customFormat="false" ht="18" hidden="false" customHeight="true" outlineLevel="0" collapsed="false">
      <c r="A5" s="20" t="s">
        <v>4</v>
      </c>
      <c r="B5" s="23" t="s">
        <v>328</v>
      </c>
    </row>
    <row r="6" customFormat="false" ht="18" hidden="false" customHeight="true" outlineLevel="0" collapsed="false">
      <c r="A6" s="20" t="s">
        <v>5</v>
      </c>
      <c r="B6" s="23" t="s">
        <v>329</v>
      </c>
    </row>
    <row r="7" customFormat="false" ht="18" hidden="false" customHeight="true" outlineLevel="0" collapsed="false">
      <c r="A7" s="20" t="s">
        <v>6</v>
      </c>
      <c r="B7" s="23" t="s">
        <v>330</v>
      </c>
    </row>
    <row r="8" customFormat="false" ht="18" hidden="false" customHeight="true" outlineLevel="0" collapsed="false">
      <c r="A8" s="20" t="s">
        <v>7</v>
      </c>
      <c r="B8" s="23" t="s">
        <v>331</v>
      </c>
    </row>
    <row r="9" customFormat="false" ht="18" hidden="false" customHeight="true" outlineLevel="0" collapsed="false">
      <c r="A9" s="20" t="s">
        <v>8</v>
      </c>
      <c r="B9" s="23" t="s">
        <v>332</v>
      </c>
    </row>
    <row r="10" customFormat="false" ht="18" hidden="false" customHeight="true" outlineLevel="0" collapsed="false">
      <c r="A10" s="20" t="s">
        <v>9</v>
      </c>
      <c r="B10" s="23" t="s">
        <v>333</v>
      </c>
    </row>
    <row r="11" customFormat="false" ht="18" hidden="false" customHeight="true" outlineLevel="0" collapsed="false">
      <c r="A11" s="20" t="s">
        <v>10</v>
      </c>
      <c r="B11" s="23" t="s">
        <v>334</v>
      </c>
    </row>
    <row r="12" customFormat="false" ht="18" hidden="false" customHeight="true" outlineLevel="0" collapsed="false">
      <c r="A12" s="20" t="s">
        <v>335</v>
      </c>
      <c r="B12" s="23" t="s">
        <v>336</v>
      </c>
    </row>
    <row r="14" customFormat="false" ht="15" hidden="false" customHeight="false" outlineLevel="0" collapsed="false">
      <c r="A14" s="30" t="s">
        <v>337</v>
      </c>
    </row>
    <row r="15" customFormat="false" ht="15" hidden="false" customHeight="false" outlineLevel="0" collapsed="false">
      <c r="A15" s="31" t="s">
        <v>17</v>
      </c>
    </row>
    <row r="16" customFormat="false" ht="15" hidden="false" customHeight="false" outlineLevel="0" collapsed="false">
      <c r="A16" s="32" t="s">
        <v>48</v>
      </c>
    </row>
    <row r="17" customFormat="false" ht="15" hidden="false" customHeight="false" outlineLevel="0" collapsed="false">
      <c r="A17" s="33" t="s">
        <v>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2026-06-25T00:19:12Z</dcterms:created>
  <dc:creator>openpyxl</dc:creator>
  <dc:description/>
  <dc:language>en-US</dc:language>
  <cp:lastModifiedBy/>
  <dcterms:modified xsi:type="dcterms:W3CDTF">2026-06-25T00:19:21Z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